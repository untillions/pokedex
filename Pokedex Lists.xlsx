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ntillions/Documents/Coding/Pokemon/"/>
    </mc:Choice>
  </mc:AlternateContent>
  <xr:revisionPtr revIDLastSave="0" documentId="13_ncr:1_{5FB7C0EF-8320-A948-8799-27553E78488A}" xr6:coauthVersionLast="47" xr6:coauthVersionMax="47" xr10:uidLastSave="{00000000-0000-0000-0000-000000000000}"/>
  <bookViews>
    <workbookView xWindow="15580" yWindow="500" windowWidth="20060" windowHeight="20120" xr2:uid="{7E9B024C-2133-CD47-A26E-C0031E6006B2}"/>
  </bookViews>
  <sheets>
    <sheet name="MASTER" sheetId="7" r:id="rId1"/>
    <sheet name="Sheet1" sheetId="8" r:id="rId2"/>
  </sheets>
  <definedNames>
    <definedName name="_xlnm._FilterDatabase" localSheetId="0">MASTER!$A$1:$U$1280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8" l="1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B445" i="8"/>
  <c r="A446" i="8"/>
  <c r="B446" i="8"/>
  <c r="A447" i="8"/>
  <c r="B447" i="8"/>
  <c r="A448" i="8"/>
  <c r="B448" i="8"/>
  <c r="A449" i="8"/>
  <c r="B449" i="8"/>
  <c r="A450" i="8"/>
  <c r="B450" i="8"/>
  <c r="A451" i="8"/>
  <c r="B451" i="8"/>
  <c r="A452" i="8"/>
  <c r="B452" i="8"/>
  <c r="A453" i="8"/>
  <c r="B453" i="8"/>
  <c r="A454" i="8"/>
  <c r="B454" i="8"/>
  <c r="A455" i="8"/>
  <c r="B455" i="8"/>
  <c r="A456" i="8"/>
  <c r="B456" i="8"/>
  <c r="A457" i="8"/>
  <c r="B457" i="8"/>
  <c r="A458" i="8"/>
  <c r="B458" i="8"/>
  <c r="A459" i="8"/>
  <c r="B459" i="8"/>
  <c r="A460" i="8"/>
  <c r="B460" i="8"/>
  <c r="A461" i="8"/>
  <c r="B461" i="8"/>
  <c r="A462" i="8"/>
  <c r="B462" i="8"/>
  <c r="A463" i="8"/>
  <c r="B463" i="8"/>
  <c r="A464" i="8"/>
  <c r="B464" i="8"/>
  <c r="A465" i="8"/>
  <c r="B465" i="8"/>
  <c r="A466" i="8"/>
  <c r="B466" i="8"/>
  <c r="A467" i="8"/>
  <c r="B467" i="8"/>
  <c r="A468" i="8"/>
  <c r="B468" i="8"/>
  <c r="A469" i="8"/>
  <c r="B469" i="8"/>
  <c r="A470" i="8"/>
  <c r="B470" i="8"/>
  <c r="A471" i="8"/>
  <c r="B471" i="8"/>
  <c r="A472" i="8"/>
  <c r="B472" i="8"/>
  <c r="A473" i="8"/>
  <c r="B473" i="8"/>
  <c r="A474" i="8"/>
  <c r="B474" i="8"/>
  <c r="A475" i="8"/>
  <c r="B475" i="8"/>
  <c r="A476" i="8"/>
  <c r="B476" i="8"/>
  <c r="A477" i="8"/>
  <c r="B477" i="8"/>
  <c r="A478" i="8"/>
  <c r="B478" i="8"/>
  <c r="A479" i="8"/>
  <c r="B479" i="8"/>
  <c r="A480" i="8"/>
  <c r="B480" i="8"/>
  <c r="A481" i="8"/>
  <c r="B481" i="8"/>
  <c r="A482" i="8"/>
  <c r="B482" i="8"/>
  <c r="A483" i="8"/>
  <c r="B483" i="8"/>
  <c r="A484" i="8"/>
  <c r="B484" i="8"/>
  <c r="A485" i="8"/>
  <c r="B485" i="8"/>
  <c r="A486" i="8"/>
  <c r="B486" i="8"/>
  <c r="A487" i="8"/>
  <c r="B487" i="8"/>
  <c r="A488" i="8"/>
  <c r="B488" i="8"/>
  <c r="A489" i="8"/>
  <c r="B489" i="8"/>
  <c r="A490" i="8"/>
  <c r="B490" i="8"/>
  <c r="A491" i="8"/>
  <c r="B491" i="8"/>
  <c r="A492" i="8"/>
  <c r="B492" i="8"/>
  <c r="A493" i="8"/>
  <c r="B493" i="8"/>
  <c r="B1" i="8"/>
  <c r="A1" i="8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1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C401" i="8"/>
  <c r="D401" i="8" s="1"/>
  <c r="E401" i="8"/>
  <c r="F401" i="8"/>
  <c r="C402" i="8"/>
  <c r="D402" i="8" s="1"/>
  <c r="E402" i="8"/>
  <c r="F402" i="8"/>
  <c r="C403" i="8"/>
  <c r="D403" i="8" s="1"/>
  <c r="E403" i="8"/>
  <c r="F403" i="8"/>
  <c r="C404" i="8"/>
  <c r="D404" i="8" s="1"/>
  <c r="E404" i="8"/>
  <c r="F404" i="8"/>
  <c r="C405" i="8"/>
  <c r="D405" i="8" s="1"/>
  <c r="E405" i="8"/>
  <c r="F405" i="8"/>
  <c r="C406" i="8"/>
  <c r="D406" i="8" s="1"/>
  <c r="E406" i="8"/>
  <c r="F406" i="8"/>
  <c r="C407" i="8"/>
  <c r="D407" i="8" s="1"/>
  <c r="E407" i="8"/>
  <c r="F407" i="8"/>
  <c r="C408" i="8"/>
  <c r="D408" i="8" s="1"/>
  <c r="E408" i="8"/>
  <c r="F408" i="8"/>
  <c r="C409" i="8"/>
  <c r="D409" i="8" s="1"/>
  <c r="E409" i="8"/>
  <c r="F409" i="8"/>
  <c r="C410" i="8"/>
  <c r="D410" i="8" s="1"/>
  <c r="E410" i="8"/>
  <c r="F410" i="8"/>
  <c r="C411" i="8"/>
  <c r="D411" i="8" s="1"/>
  <c r="E411" i="8"/>
  <c r="F411" i="8"/>
  <c r="C412" i="8"/>
  <c r="D412" i="8" s="1"/>
  <c r="E412" i="8"/>
  <c r="F412" i="8"/>
  <c r="C413" i="8"/>
  <c r="D413" i="8" s="1"/>
  <c r="E413" i="8"/>
  <c r="F413" i="8"/>
  <c r="C414" i="8"/>
  <c r="D414" i="8" s="1"/>
  <c r="E414" i="8"/>
  <c r="F414" i="8"/>
  <c r="C415" i="8"/>
  <c r="D415" i="8" s="1"/>
  <c r="E415" i="8"/>
  <c r="F415" i="8"/>
  <c r="C416" i="8"/>
  <c r="D416" i="8" s="1"/>
  <c r="E416" i="8"/>
  <c r="F416" i="8"/>
  <c r="C417" i="8"/>
  <c r="D417" i="8" s="1"/>
  <c r="E417" i="8"/>
  <c r="F417" i="8"/>
  <c r="C418" i="8"/>
  <c r="D418" i="8" s="1"/>
  <c r="E418" i="8"/>
  <c r="F418" i="8"/>
  <c r="C419" i="8"/>
  <c r="D419" i="8" s="1"/>
  <c r="E419" i="8"/>
  <c r="F419" i="8"/>
  <c r="C420" i="8"/>
  <c r="D420" i="8" s="1"/>
  <c r="E420" i="8"/>
  <c r="F420" i="8"/>
  <c r="C421" i="8"/>
  <c r="D421" i="8" s="1"/>
  <c r="E421" i="8"/>
  <c r="F421" i="8"/>
  <c r="C422" i="8"/>
  <c r="D422" i="8" s="1"/>
  <c r="E422" i="8"/>
  <c r="F422" i="8"/>
  <c r="C423" i="8"/>
  <c r="D423" i="8" s="1"/>
  <c r="E423" i="8"/>
  <c r="F423" i="8"/>
  <c r="C424" i="8"/>
  <c r="D424" i="8" s="1"/>
  <c r="E424" i="8"/>
  <c r="F424" i="8"/>
  <c r="C425" i="8"/>
  <c r="D425" i="8" s="1"/>
  <c r="E425" i="8"/>
  <c r="F425" i="8"/>
  <c r="C426" i="8"/>
  <c r="D426" i="8" s="1"/>
  <c r="E426" i="8"/>
  <c r="F426" i="8"/>
  <c r="C427" i="8"/>
  <c r="D427" i="8" s="1"/>
  <c r="E427" i="8"/>
  <c r="F427" i="8"/>
  <c r="C428" i="8"/>
  <c r="D428" i="8" s="1"/>
  <c r="E428" i="8"/>
  <c r="F428" i="8"/>
  <c r="C429" i="8"/>
  <c r="D429" i="8" s="1"/>
  <c r="E429" i="8"/>
  <c r="F429" i="8"/>
  <c r="C430" i="8"/>
  <c r="D430" i="8" s="1"/>
  <c r="E430" i="8"/>
  <c r="F430" i="8"/>
  <c r="C431" i="8"/>
  <c r="D431" i="8" s="1"/>
  <c r="E431" i="8"/>
  <c r="F431" i="8"/>
  <c r="C432" i="8"/>
  <c r="D432" i="8" s="1"/>
  <c r="E432" i="8"/>
  <c r="F432" i="8"/>
  <c r="C433" i="8"/>
  <c r="D433" i="8" s="1"/>
  <c r="E433" i="8"/>
  <c r="F433" i="8"/>
  <c r="C434" i="8"/>
  <c r="D434" i="8" s="1"/>
  <c r="E434" i="8"/>
  <c r="F434" i="8"/>
  <c r="C435" i="8"/>
  <c r="D435" i="8" s="1"/>
  <c r="E435" i="8"/>
  <c r="F435" i="8"/>
  <c r="C436" i="8"/>
  <c r="D436" i="8" s="1"/>
  <c r="E436" i="8"/>
  <c r="F436" i="8"/>
  <c r="C437" i="8"/>
  <c r="D437" i="8" s="1"/>
  <c r="E437" i="8"/>
  <c r="F437" i="8"/>
  <c r="C438" i="8"/>
  <c r="D438" i="8" s="1"/>
  <c r="E438" i="8"/>
  <c r="F438" i="8"/>
  <c r="C439" i="8"/>
  <c r="D439" i="8" s="1"/>
  <c r="E439" i="8"/>
  <c r="F439" i="8"/>
  <c r="C440" i="8"/>
  <c r="D440" i="8" s="1"/>
  <c r="E440" i="8"/>
  <c r="F440" i="8"/>
  <c r="C441" i="8"/>
  <c r="D441" i="8" s="1"/>
  <c r="E441" i="8"/>
  <c r="F441" i="8"/>
  <c r="C442" i="8"/>
  <c r="D442" i="8" s="1"/>
  <c r="E442" i="8"/>
  <c r="F442" i="8"/>
  <c r="C443" i="8"/>
  <c r="D443" i="8" s="1"/>
  <c r="E443" i="8"/>
  <c r="F443" i="8"/>
  <c r="C444" i="8"/>
  <c r="D444" i="8" s="1"/>
  <c r="E444" i="8"/>
  <c r="F444" i="8"/>
  <c r="C445" i="8"/>
  <c r="D445" i="8" s="1"/>
  <c r="E445" i="8"/>
  <c r="F445" i="8"/>
  <c r="C446" i="8"/>
  <c r="D446" i="8" s="1"/>
  <c r="E446" i="8"/>
  <c r="F446" i="8"/>
  <c r="C447" i="8"/>
  <c r="D447" i="8" s="1"/>
  <c r="E447" i="8"/>
  <c r="F447" i="8"/>
  <c r="C448" i="8"/>
  <c r="D448" i="8" s="1"/>
  <c r="E448" i="8"/>
  <c r="F448" i="8"/>
  <c r="C449" i="8"/>
  <c r="D449" i="8" s="1"/>
  <c r="E449" i="8"/>
  <c r="F449" i="8"/>
  <c r="C450" i="8"/>
  <c r="E450" i="8"/>
  <c r="F450" i="8"/>
  <c r="C451" i="8"/>
  <c r="D451" i="8" s="1"/>
  <c r="E451" i="8"/>
  <c r="F451" i="8"/>
  <c r="C452" i="8"/>
  <c r="D452" i="8" s="1"/>
  <c r="E452" i="8"/>
  <c r="F452" i="8"/>
  <c r="C453" i="8"/>
  <c r="D453" i="8" s="1"/>
  <c r="E453" i="8"/>
  <c r="F453" i="8"/>
  <c r="C454" i="8"/>
  <c r="D454" i="8" s="1"/>
  <c r="E454" i="8"/>
  <c r="F454" i="8"/>
  <c r="C455" i="8"/>
  <c r="D455" i="8" s="1"/>
  <c r="E455" i="8"/>
  <c r="F455" i="8"/>
  <c r="C456" i="8"/>
  <c r="D456" i="8" s="1"/>
  <c r="E456" i="8"/>
  <c r="F456" i="8"/>
  <c r="C457" i="8"/>
  <c r="D457" i="8" s="1"/>
  <c r="E457" i="8"/>
  <c r="F457" i="8"/>
  <c r="C458" i="8"/>
  <c r="D458" i="8" s="1"/>
  <c r="E458" i="8"/>
  <c r="F458" i="8"/>
  <c r="C459" i="8"/>
  <c r="D459" i="8" s="1"/>
  <c r="E459" i="8"/>
  <c r="F459" i="8"/>
  <c r="C460" i="8"/>
  <c r="D460" i="8" s="1"/>
  <c r="E460" i="8"/>
  <c r="F460" i="8"/>
  <c r="C461" i="8"/>
  <c r="D461" i="8" s="1"/>
  <c r="E461" i="8"/>
  <c r="F461" i="8"/>
  <c r="C462" i="8"/>
  <c r="D462" i="8" s="1"/>
  <c r="E462" i="8"/>
  <c r="F462" i="8"/>
  <c r="C463" i="8"/>
  <c r="D463" i="8" s="1"/>
  <c r="E463" i="8"/>
  <c r="F463" i="8"/>
  <c r="C464" i="8"/>
  <c r="D464" i="8" s="1"/>
  <c r="E464" i="8"/>
  <c r="F464" i="8"/>
  <c r="C465" i="8"/>
  <c r="D465" i="8" s="1"/>
  <c r="E465" i="8"/>
  <c r="F465" i="8"/>
  <c r="C466" i="8"/>
  <c r="E466" i="8"/>
  <c r="F466" i="8"/>
  <c r="C467" i="8"/>
  <c r="D467" i="8" s="1"/>
  <c r="E467" i="8"/>
  <c r="F467" i="8"/>
  <c r="C468" i="8"/>
  <c r="D468" i="8" s="1"/>
  <c r="E468" i="8"/>
  <c r="F468" i="8"/>
  <c r="C469" i="8"/>
  <c r="D469" i="8" s="1"/>
  <c r="E469" i="8"/>
  <c r="F469" i="8"/>
  <c r="C470" i="8"/>
  <c r="D470" i="8" s="1"/>
  <c r="E470" i="8"/>
  <c r="F470" i="8"/>
  <c r="C471" i="8"/>
  <c r="D471" i="8" s="1"/>
  <c r="E471" i="8"/>
  <c r="F471" i="8"/>
  <c r="C472" i="8"/>
  <c r="D472" i="8" s="1"/>
  <c r="E472" i="8"/>
  <c r="F472" i="8"/>
  <c r="C473" i="8"/>
  <c r="D473" i="8" s="1"/>
  <c r="E473" i="8"/>
  <c r="F473" i="8"/>
  <c r="C474" i="8"/>
  <c r="D474" i="8" s="1"/>
  <c r="E474" i="8"/>
  <c r="F474" i="8"/>
  <c r="C475" i="8"/>
  <c r="D475" i="8" s="1"/>
  <c r="E475" i="8"/>
  <c r="F475" i="8"/>
  <c r="C476" i="8"/>
  <c r="D476" i="8" s="1"/>
  <c r="E476" i="8"/>
  <c r="F476" i="8"/>
  <c r="C477" i="8"/>
  <c r="D477" i="8" s="1"/>
  <c r="E477" i="8"/>
  <c r="F477" i="8"/>
  <c r="C478" i="8"/>
  <c r="D478" i="8" s="1"/>
  <c r="E478" i="8"/>
  <c r="F478" i="8"/>
  <c r="C479" i="8"/>
  <c r="D479" i="8" s="1"/>
  <c r="E479" i="8"/>
  <c r="F479" i="8"/>
  <c r="C480" i="8"/>
  <c r="D480" i="8" s="1"/>
  <c r="E480" i="8"/>
  <c r="F480" i="8"/>
  <c r="C481" i="8"/>
  <c r="D481" i="8" s="1"/>
  <c r="E481" i="8"/>
  <c r="F481" i="8"/>
  <c r="C482" i="8"/>
  <c r="E482" i="8"/>
  <c r="F482" i="8"/>
  <c r="C483" i="8"/>
  <c r="D483" i="8" s="1"/>
  <c r="E483" i="8"/>
  <c r="F483" i="8"/>
  <c r="C484" i="8"/>
  <c r="D484" i="8" s="1"/>
  <c r="E484" i="8"/>
  <c r="F484" i="8"/>
  <c r="C485" i="8"/>
  <c r="D485" i="8" s="1"/>
  <c r="E485" i="8"/>
  <c r="F485" i="8"/>
  <c r="C486" i="8"/>
  <c r="D486" i="8" s="1"/>
  <c r="E486" i="8"/>
  <c r="F486" i="8"/>
  <c r="C487" i="8"/>
  <c r="D487" i="8" s="1"/>
  <c r="E487" i="8"/>
  <c r="F487" i="8"/>
  <c r="C488" i="8"/>
  <c r="D488" i="8" s="1"/>
  <c r="E488" i="8"/>
  <c r="F488" i="8"/>
  <c r="C489" i="8"/>
  <c r="D489" i="8" s="1"/>
  <c r="E489" i="8"/>
  <c r="F489" i="8"/>
  <c r="C490" i="8"/>
  <c r="D490" i="8" s="1"/>
  <c r="E490" i="8"/>
  <c r="F490" i="8"/>
  <c r="C491" i="8"/>
  <c r="D491" i="8" s="1"/>
  <c r="E491" i="8"/>
  <c r="F491" i="8"/>
  <c r="C492" i="8"/>
  <c r="D492" i="8" s="1"/>
  <c r="E492" i="8"/>
  <c r="F492" i="8"/>
  <c r="C493" i="8"/>
  <c r="D493" i="8" s="1"/>
  <c r="E493" i="8"/>
  <c r="F493" i="8"/>
  <c r="G2" i="8"/>
  <c r="G3" i="8"/>
  <c r="G4" i="8"/>
  <c r="G5" i="8"/>
  <c r="G6" i="8"/>
  <c r="G7" i="8"/>
  <c r="G8" i="8"/>
  <c r="G9" i="8"/>
  <c r="G10" i="8"/>
  <c r="G11" i="8"/>
  <c r="G12" i="8"/>
  <c r="G13" i="8"/>
  <c r="G1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C2" i="8"/>
  <c r="D2" i="8" s="1"/>
  <c r="C3" i="8"/>
  <c r="D3" i="8" s="1"/>
  <c r="C4" i="8"/>
  <c r="D4" i="8" s="1"/>
  <c r="C5" i="8"/>
  <c r="D5" i="8" s="1"/>
  <c r="C6" i="8"/>
  <c r="D6" i="8" s="1"/>
  <c r="C7" i="8"/>
  <c r="C8" i="8"/>
  <c r="D8" i="8" s="1"/>
  <c r="C9" i="8"/>
  <c r="D9" i="8" s="1"/>
  <c r="C10" i="8"/>
  <c r="D10" i="8" s="1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C17" i="8"/>
  <c r="D17" i="8" s="1"/>
  <c r="C18" i="8"/>
  <c r="D18" i="8" s="1"/>
  <c r="C19" i="8"/>
  <c r="D19" i="8" s="1"/>
  <c r="C20" i="8"/>
  <c r="D20" i="8" s="1"/>
  <c r="C21" i="8"/>
  <c r="D21" i="8" s="1"/>
  <c r="C22" i="8"/>
  <c r="D22" i="8" s="1"/>
  <c r="C23" i="8"/>
  <c r="D23" i="8" s="1"/>
  <c r="C24" i="8"/>
  <c r="D24" i="8" s="1"/>
  <c r="C25" i="8"/>
  <c r="D25" i="8" s="1"/>
  <c r="C26" i="8"/>
  <c r="D26" i="8" s="1"/>
  <c r="C27" i="8"/>
  <c r="D27" i="8" s="1"/>
  <c r="C28" i="8"/>
  <c r="D28" i="8" s="1"/>
  <c r="C29" i="8"/>
  <c r="D29" i="8" s="1"/>
  <c r="C30" i="8"/>
  <c r="D30" i="8" s="1"/>
  <c r="C31" i="8"/>
  <c r="D31" i="8" s="1"/>
  <c r="C32" i="8"/>
  <c r="D32" i="8" s="1"/>
  <c r="C33" i="8"/>
  <c r="D33" i="8" s="1"/>
  <c r="C34" i="8"/>
  <c r="D34" i="8" s="1"/>
  <c r="C35" i="8"/>
  <c r="D35" i="8" s="1"/>
  <c r="C36" i="8"/>
  <c r="D36" i="8" s="1"/>
  <c r="C37" i="8"/>
  <c r="D37" i="8" s="1"/>
  <c r="C38" i="8"/>
  <c r="D38" i="8" s="1"/>
  <c r="C39" i="8"/>
  <c r="C40" i="8"/>
  <c r="D40" i="8" s="1"/>
  <c r="C41" i="8"/>
  <c r="D41" i="8" s="1"/>
  <c r="C42" i="8"/>
  <c r="D42" i="8" s="1"/>
  <c r="C43" i="8"/>
  <c r="D43" i="8" s="1"/>
  <c r="C44" i="8"/>
  <c r="D44" i="8" s="1"/>
  <c r="C45" i="8"/>
  <c r="D45" i="8" s="1"/>
  <c r="C46" i="8"/>
  <c r="D46" i="8" s="1"/>
  <c r="C47" i="8"/>
  <c r="D47" i="8" s="1"/>
  <c r="C48" i="8"/>
  <c r="D48" i="8" s="1"/>
  <c r="C49" i="8"/>
  <c r="D49" i="8" s="1"/>
  <c r="C50" i="8"/>
  <c r="D50" i="8" s="1"/>
  <c r="C51" i="8"/>
  <c r="D51" i="8" s="1"/>
  <c r="C52" i="8"/>
  <c r="D52" i="8" s="1"/>
  <c r="C53" i="8"/>
  <c r="D53" i="8" s="1"/>
  <c r="C54" i="8"/>
  <c r="D54" i="8" s="1"/>
  <c r="C55" i="8"/>
  <c r="D55" i="8" s="1"/>
  <c r="C56" i="8"/>
  <c r="D56" i="8" s="1"/>
  <c r="C57" i="8"/>
  <c r="D57" i="8" s="1"/>
  <c r="C58" i="8"/>
  <c r="D58" i="8" s="1"/>
  <c r="C59" i="8"/>
  <c r="D59" i="8" s="1"/>
  <c r="C60" i="8"/>
  <c r="D60" i="8" s="1"/>
  <c r="C61" i="8"/>
  <c r="D61" i="8" s="1"/>
  <c r="C62" i="8"/>
  <c r="D62" i="8" s="1"/>
  <c r="C63" i="8"/>
  <c r="D63" i="8" s="1"/>
  <c r="C64" i="8"/>
  <c r="D64" i="8" s="1"/>
  <c r="C65" i="8"/>
  <c r="D65" i="8" s="1"/>
  <c r="C66" i="8"/>
  <c r="D66" i="8" s="1"/>
  <c r="C67" i="8"/>
  <c r="D67" i="8" s="1"/>
  <c r="C68" i="8"/>
  <c r="D68" i="8" s="1"/>
  <c r="C69" i="8"/>
  <c r="D69" i="8" s="1"/>
  <c r="C70" i="8"/>
  <c r="D70" i="8" s="1"/>
  <c r="C71" i="8"/>
  <c r="C72" i="8"/>
  <c r="D72" i="8" s="1"/>
  <c r="C73" i="8"/>
  <c r="D73" i="8" s="1"/>
  <c r="C74" i="8"/>
  <c r="D74" i="8" s="1"/>
  <c r="C75" i="8"/>
  <c r="D75" i="8" s="1"/>
  <c r="C76" i="8"/>
  <c r="D76" i="8" s="1"/>
  <c r="C77" i="8"/>
  <c r="D77" i="8" s="1"/>
  <c r="C78" i="8"/>
  <c r="D78" i="8" s="1"/>
  <c r="C79" i="8"/>
  <c r="D79" i="8" s="1"/>
  <c r="C80" i="8"/>
  <c r="D80" i="8" s="1"/>
  <c r="C81" i="8"/>
  <c r="D81" i="8" s="1"/>
  <c r="C82" i="8"/>
  <c r="D82" i="8" s="1"/>
  <c r="C83" i="8"/>
  <c r="D83" i="8" s="1"/>
  <c r="C84" i="8"/>
  <c r="D84" i="8" s="1"/>
  <c r="C85" i="8"/>
  <c r="D85" i="8" s="1"/>
  <c r="C86" i="8"/>
  <c r="D86" i="8" s="1"/>
  <c r="C87" i="8"/>
  <c r="C88" i="8"/>
  <c r="D88" i="8" s="1"/>
  <c r="C89" i="8"/>
  <c r="D89" i="8" s="1"/>
  <c r="C90" i="8"/>
  <c r="D90" i="8" s="1"/>
  <c r="C91" i="8"/>
  <c r="D91" i="8" s="1"/>
  <c r="C92" i="8"/>
  <c r="D92" i="8" s="1"/>
  <c r="C93" i="8"/>
  <c r="D93" i="8" s="1"/>
  <c r="C94" i="8"/>
  <c r="D94" i="8" s="1"/>
  <c r="C95" i="8"/>
  <c r="D95" i="8" s="1"/>
  <c r="C96" i="8"/>
  <c r="D96" i="8" s="1"/>
  <c r="C97" i="8"/>
  <c r="D97" i="8" s="1"/>
  <c r="C98" i="8"/>
  <c r="D98" i="8" s="1"/>
  <c r="C99" i="8"/>
  <c r="D99" i="8" s="1"/>
  <c r="C100" i="8"/>
  <c r="D100" i="8" s="1"/>
  <c r="C101" i="8"/>
  <c r="D101" i="8" s="1"/>
  <c r="C102" i="8"/>
  <c r="D102" i="8" s="1"/>
  <c r="C103" i="8"/>
  <c r="D103" i="8" s="1"/>
  <c r="C104" i="8"/>
  <c r="C105" i="8"/>
  <c r="D105" i="8" s="1"/>
  <c r="C106" i="8"/>
  <c r="D106" i="8" s="1"/>
  <c r="C107" i="8"/>
  <c r="D107" i="8" s="1"/>
  <c r="C108" i="8"/>
  <c r="D108" i="8" s="1"/>
  <c r="C109" i="8"/>
  <c r="D109" i="8" s="1"/>
  <c r="C110" i="8"/>
  <c r="D110" i="8" s="1"/>
  <c r="C111" i="8"/>
  <c r="D111" i="8" s="1"/>
  <c r="C112" i="8"/>
  <c r="D112" i="8" s="1"/>
  <c r="C113" i="8"/>
  <c r="D113" i="8" s="1"/>
  <c r="C114" i="8"/>
  <c r="D114" i="8" s="1"/>
  <c r="C115" i="8"/>
  <c r="D115" i="8" s="1"/>
  <c r="C116" i="8"/>
  <c r="D116" i="8" s="1"/>
  <c r="C117" i="8"/>
  <c r="D117" i="8" s="1"/>
  <c r="C118" i="8"/>
  <c r="D118" i="8" s="1"/>
  <c r="C119" i="8"/>
  <c r="D119" i="8" s="1"/>
  <c r="C120" i="8"/>
  <c r="D120" i="8" s="1"/>
  <c r="C121" i="8"/>
  <c r="D121" i="8" s="1"/>
  <c r="C122" i="8"/>
  <c r="D122" i="8" s="1"/>
  <c r="C123" i="8"/>
  <c r="D123" i="8" s="1"/>
  <c r="C124" i="8"/>
  <c r="D124" i="8" s="1"/>
  <c r="C125" i="8"/>
  <c r="D125" i="8" s="1"/>
  <c r="C126" i="8"/>
  <c r="D126" i="8" s="1"/>
  <c r="C127" i="8"/>
  <c r="D127" i="8" s="1"/>
  <c r="C128" i="8"/>
  <c r="D128" i="8" s="1"/>
  <c r="C129" i="8"/>
  <c r="D129" i="8" s="1"/>
  <c r="C130" i="8"/>
  <c r="D130" i="8" s="1"/>
  <c r="C131" i="8"/>
  <c r="D131" i="8" s="1"/>
  <c r="C132" i="8"/>
  <c r="D132" i="8" s="1"/>
  <c r="C133" i="8"/>
  <c r="D133" i="8" s="1"/>
  <c r="C134" i="8"/>
  <c r="D134" i="8" s="1"/>
  <c r="C135" i="8"/>
  <c r="D135" i="8" s="1"/>
  <c r="C136" i="8"/>
  <c r="D136" i="8" s="1"/>
  <c r="C137" i="8"/>
  <c r="D137" i="8" s="1"/>
  <c r="C138" i="8"/>
  <c r="D138" i="8" s="1"/>
  <c r="C139" i="8"/>
  <c r="D139" i="8" s="1"/>
  <c r="C140" i="8"/>
  <c r="D140" i="8" s="1"/>
  <c r="C141" i="8"/>
  <c r="D141" i="8" s="1"/>
  <c r="C142" i="8"/>
  <c r="D142" i="8" s="1"/>
  <c r="C143" i="8"/>
  <c r="D143" i="8" s="1"/>
  <c r="C144" i="8"/>
  <c r="D144" i="8" s="1"/>
  <c r="C145" i="8"/>
  <c r="D145" i="8" s="1"/>
  <c r="C146" i="8"/>
  <c r="D146" i="8" s="1"/>
  <c r="C147" i="8"/>
  <c r="D147" i="8" s="1"/>
  <c r="C148" i="8"/>
  <c r="D148" i="8" s="1"/>
  <c r="C149" i="8"/>
  <c r="D149" i="8" s="1"/>
  <c r="C150" i="8"/>
  <c r="D150" i="8" s="1"/>
  <c r="C151" i="8"/>
  <c r="C152" i="8"/>
  <c r="C153" i="8"/>
  <c r="D153" i="8" s="1"/>
  <c r="C154" i="8"/>
  <c r="D154" i="8" s="1"/>
  <c r="C155" i="8"/>
  <c r="D155" i="8" s="1"/>
  <c r="C156" i="8"/>
  <c r="D156" i="8" s="1"/>
  <c r="C157" i="8"/>
  <c r="D157" i="8" s="1"/>
  <c r="C158" i="8"/>
  <c r="D158" i="8" s="1"/>
  <c r="C159" i="8"/>
  <c r="D159" i="8" s="1"/>
  <c r="C160" i="8"/>
  <c r="D160" i="8" s="1"/>
  <c r="C161" i="8"/>
  <c r="D161" i="8" s="1"/>
  <c r="C162" i="8"/>
  <c r="D162" i="8" s="1"/>
  <c r="C163" i="8"/>
  <c r="D163" i="8" s="1"/>
  <c r="C164" i="8"/>
  <c r="D164" i="8" s="1"/>
  <c r="C165" i="8"/>
  <c r="D165" i="8" s="1"/>
  <c r="C166" i="8"/>
  <c r="D166" i="8" s="1"/>
  <c r="C167" i="8"/>
  <c r="D167" i="8" s="1"/>
  <c r="C168" i="8"/>
  <c r="D168" i="8" s="1"/>
  <c r="C169" i="8"/>
  <c r="D169" i="8" s="1"/>
  <c r="C170" i="8"/>
  <c r="D170" i="8" s="1"/>
  <c r="C171" i="8"/>
  <c r="D171" i="8" s="1"/>
  <c r="C172" i="8"/>
  <c r="D172" i="8" s="1"/>
  <c r="C173" i="8"/>
  <c r="D173" i="8" s="1"/>
  <c r="C174" i="8"/>
  <c r="D174" i="8" s="1"/>
  <c r="C175" i="8"/>
  <c r="D175" i="8" s="1"/>
  <c r="C176" i="8"/>
  <c r="D176" i="8" s="1"/>
  <c r="C177" i="8"/>
  <c r="D177" i="8" s="1"/>
  <c r="C178" i="8"/>
  <c r="D178" i="8" s="1"/>
  <c r="C179" i="8"/>
  <c r="D179" i="8" s="1"/>
  <c r="C180" i="8"/>
  <c r="D180" i="8" s="1"/>
  <c r="C181" i="8"/>
  <c r="D181" i="8" s="1"/>
  <c r="C182" i="8"/>
  <c r="D182" i="8" s="1"/>
  <c r="C183" i="8"/>
  <c r="D183" i="8" s="1"/>
  <c r="C184" i="8"/>
  <c r="D184" i="8" s="1"/>
  <c r="C185" i="8"/>
  <c r="D185" i="8" s="1"/>
  <c r="C186" i="8"/>
  <c r="D186" i="8" s="1"/>
  <c r="C187" i="8"/>
  <c r="D187" i="8" s="1"/>
  <c r="C188" i="8"/>
  <c r="D188" i="8" s="1"/>
  <c r="C189" i="8"/>
  <c r="D189" i="8" s="1"/>
  <c r="C190" i="8"/>
  <c r="D190" i="8" s="1"/>
  <c r="C191" i="8"/>
  <c r="D191" i="8" s="1"/>
  <c r="C192" i="8"/>
  <c r="D192" i="8" s="1"/>
  <c r="C193" i="8"/>
  <c r="D193" i="8" s="1"/>
  <c r="C194" i="8"/>
  <c r="D194" i="8" s="1"/>
  <c r="C195" i="8"/>
  <c r="D195" i="8" s="1"/>
  <c r="C196" i="8"/>
  <c r="D196" i="8" s="1"/>
  <c r="C197" i="8"/>
  <c r="D197" i="8" s="1"/>
  <c r="C198" i="8"/>
  <c r="D198" i="8" s="1"/>
  <c r="C199" i="8"/>
  <c r="C200" i="8"/>
  <c r="D200" i="8" s="1"/>
  <c r="C201" i="8"/>
  <c r="D201" i="8" s="1"/>
  <c r="C202" i="8"/>
  <c r="D202" i="8" s="1"/>
  <c r="C203" i="8"/>
  <c r="D203" i="8" s="1"/>
  <c r="C204" i="8"/>
  <c r="D204" i="8" s="1"/>
  <c r="C205" i="8"/>
  <c r="D205" i="8" s="1"/>
  <c r="C206" i="8"/>
  <c r="D206" i="8" s="1"/>
  <c r="C207" i="8"/>
  <c r="D207" i="8" s="1"/>
  <c r="C208" i="8"/>
  <c r="D208" i="8" s="1"/>
  <c r="C209" i="8"/>
  <c r="D209" i="8" s="1"/>
  <c r="C210" i="8"/>
  <c r="D210" i="8" s="1"/>
  <c r="C211" i="8"/>
  <c r="D211" i="8" s="1"/>
  <c r="C212" i="8"/>
  <c r="D212" i="8" s="1"/>
  <c r="C213" i="8"/>
  <c r="D213" i="8" s="1"/>
  <c r="C214" i="8"/>
  <c r="D214" i="8" s="1"/>
  <c r="C215" i="8"/>
  <c r="C216" i="8"/>
  <c r="D216" i="8" s="1"/>
  <c r="C217" i="8"/>
  <c r="D217" i="8" s="1"/>
  <c r="C218" i="8"/>
  <c r="D218" i="8" s="1"/>
  <c r="C219" i="8"/>
  <c r="D219" i="8" s="1"/>
  <c r="C220" i="8"/>
  <c r="D220" i="8" s="1"/>
  <c r="C221" i="8"/>
  <c r="D221" i="8" s="1"/>
  <c r="C222" i="8"/>
  <c r="D222" i="8" s="1"/>
  <c r="C223" i="8"/>
  <c r="D223" i="8" s="1"/>
  <c r="C224" i="8"/>
  <c r="D224" i="8" s="1"/>
  <c r="C225" i="8"/>
  <c r="D225" i="8" s="1"/>
  <c r="C226" i="8"/>
  <c r="D226" i="8" s="1"/>
  <c r="C227" i="8"/>
  <c r="D227" i="8" s="1"/>
  <c r="C228" i="8"/>
  <c r="D228" i="8" s="1"/>
  <c r="C229" i="8"/>
  <c r="D229" i="8" s="1"/>
  <c r="C230" i="8"/>
  <c r="D230" i="8" s="1"/>
  <c r="C231" i="8"/>
  <c r="C232" i="8"/>
  <c r="C233" i="8"/>
  <c r="D233" i="8" s="1"/>
  <c r="C234" i="8"/>
  <c r="D234" i="8" s="1"/>
  <c r="C235" i="8"/>
  <c r="D235" i="8" s="1"/>
  <c r="C236" i="8"/>
  <c r="D236" i="8" s="1"/>
  <c r="C237" i="8"/>
  <c r="D237" i="8" s="1"/>
  <c r="C238" i="8"/>
  <c r="D238" i="8" s="1"/>
  <c r="C239" i="8"/>
  <c r="D239" i="8" s="1"/>
  <c r="C240" i="8"/>
  <c r="D240" i="8" s="1"/>
  <c r="C241" i="8"/>
  <c r="D241" i="8" s="1"/>
  <c r="C242" i="8"/>
  <c r="D242" i="8" s="1"/>
  <c r="C243" i="8"/>
  <c r="D243" i="8" s="1"/>
  <c r="C244" i="8"/>
  <c r="D244" i="8" s="1"/>
  <c r="C245" i="8"/>
  <c r="D245" i="8" s="1"/>
  <c r="C246" i="8"/>
  <c r="D246" i="8" s="1"/>
  <c r="C247" i="8"/>
  <c r="D247" i="8" s="1"/>
  <c r="C248" i="8"/>
  <c r="D248" i="8" s="1"/>
  <c r="C249" i="8"/>
  <c r="D249" i="8" s="1"/>
  <c r="C250" i="8"/>
  <c r="D250" i="8" s="1"/>
  <c r="C251" i="8"/>
  <c r="D251" i="8" s="1"/>
  <c r="C252" i="8"/>
  <c r="D252" i="8" s="1"/>
  <c r="C253" i="8"/>
  <c r="D253" i="8" s="1"/>
  <c r="C254" i="8"/>
  <c r="D254" i="8" s="1"/>
  <c r="C255" i="8"/>
  <c r="D255" i="8" s="1"/>
  <c r="C256" i="8"/>
  <c r="D256" i="8" s="1"/>
  <c r="C257" i="8"/>
  <c r="D257" i="8" s="1"/>
  <c r="C258" i="8"/>
  <c r="D258" i="8" s="1"/>
  <c r="C259" i="8"/>
  <c r="D259" i="8" s="1"/>
  <c r="C260" i="8"/>
  <c r="D260" i="8" s="1"/>
  <c r="C261" i="8"/>
  <c r="D261" i="8" s="1"/>
  <c r="C262" i="8"/>
  <c r="D262" i="8" s="1"/>
  <c r="C263" i="8"/>
  <c r="C264" i="8"/>
  <c r="D264" i="8" s="1"/>
  <c r="C265" i="8"/>
  <c r="D265" i="8" s="1"/>
  <c r="C266" i="8"/>
  <c r="D266" i="8" s="1"/>
  <c r="C267" i="8"/>
  <c r="D267" i="8" s="1"/>
  <c r="C268" i="8"/>
  <c r="D268" i="8" s="1"/>
  <c r="C269" i="8"/>
  <c r="D269" i="8" s="1"/>
  <c r="C270" i="8"/>
  <c r="D270" i="8" s="1"/>
  <c r="C271" i="8"/>
  <c r="D271" i="8" s="1"/>
  <c r="C272" i="8"/>
  <c r="D272" i="8" s="1"/>
  <c r="C273" i="8"/>
  <c r="D273" i="8" s="1"/>
  <c r="C274" i="8"/>
  <c r="D274" i="8" s="1"/>
  <c r="C275" i="8"/>
  <c r="D275" i="8" s="1"/>
  <c r="C276" i="8"/>
  <c r="D276" i="8" s="1"/>
  <c r="C277" i="8"/>
  <c r="D277" i="8" s="1"/>
  <c r="C278" i="8"/>
  <c r="D278" i="8" s="1"/>
  <c r="C279" i="8"/>
  <c r="D279" i="8" s="1"/>
  <c r="C280" i="8"/>
  <c r="D280" i="8" s="1"/>
  <c r="C281" i="8"/>
  <c r="D281" i="8" s="1"/>
  <c r="C282" i="8"/>
  <c r="D282" i="8" s="1"/>
  <c r="C283" i="8"/>
  <c r="D283" i="8" s="1"/>
  <c r="C284" i="8"/>
  <c r="D284" i="8" s="1"/>
  <c r="C285" i="8"/>
  <c r="D285" i="8" s="1"/>
  <c r="C286" i="8"/>
  <c r="D286" i="8" s="1"/>
  <c r="C287" i="8"/>
  <c r="D287" i="8" s="1"/>
  <c r="C288" i="8"/>
  <c r="D288" i="8" s="1"/>
  <c r="C289" i="8"/>
  <c r="D289" i="8" s="1"/>
  <c r="C290" i="8"/>
  <c r="D290" i="8" s="1"/>
  <c r="C291" i="8"/>
  <c r="D291" i="8" s="1"/>
  <c r="C292" i="8"/>
  <c r="D292" i="8" s="1"/>
  <c r="C293" i="8"/>
  <c r="D293" i="8" s="1"/>
  <c r="C294" i="8"/>
  <c r="D294" i="8" s="1"/>
  <c r="C295" i="8"/>
  <c r="C296" i="8"/>
  <c r="D296" i="8" s="1"/>
  <c r="C297" i="8"/>
  <c r="D297" i="8" s="1"/>
  <c r="C298" i="8"/>
  <c r="D298" i="8" s="1"/>
  <c r="C299" i="8"/>
  <c r="D299" i="8" s="1"/>
  <c r="C300" i="8"/>
  <c r="D300" i="8" s="1"/>
  <c r="C301" i="8"/>
  <c r="D301" i="8" s="1"/>
  <c r="C302" i="8"/>
  <c r="D302" i="8" s="1"/>
  <c r="C303" i="8"/>
  <c r="D303" i="8" s="1"/>
  <c r="C304" i="8"/>
  <c r="D304" i="8" s="1"/>
  <c r="C305" i="8"/>
  <c r="D305" i="8" s="1"/>
  <c r="C306" i="8"/>
  <c r="D306" i="8" s="1"/>
  <c r="C307" i="8"/>
  <c r="D307" i="8" s="1"/>
  <c r="C308" i="8"/>
  <c r="D308" i="8" s="1"/>
  <c r="C309" i="8"/>
  <c r="D309" i="8" s="1"/>
  <c r="C310" i="8"/>
  <c r="D310" i="8" s="1"/>
  <c r="C311" i="8"/>
  <c r="D311" i="8" s="1"/>
  <c r="C312" i="8"/>
  <c r="D312" i="8" s="1"/>
  <c r="C313" i="8"/>
  <c r="D313" i="8" s="1"/>
  <c r="C314" i="8"/>
  <c r="D314" i="8" s="1"/>
  <c r="C315" i="8"/>
  <c r="D315" i="8" s="1"/>
  <c r="C316" i="8"/>
  <c r="D316" i="8" s="1"/>
  <c r="C317" i="8"/>
  <c r="D317" i="8" s="1"/>
  <c r="C318" i="8"/>
  <c r="D318" i="8" s="1"/>
  <c r="C319" i="8"/>
  <c r="D319" i="8" s="1"/>
  <c r="C320" i="8"/>
  <c r="D320" i="8" s="1"/>
  <c r="C321" i="8"/>
  <c r="D321" i="8" s="1"/>
  <c r="C322" i="8"/>
  <c r="D322" i="8" s="1"/>
  <c r="C323" i="8"/>
  <c r="D323" i="8" s="1"/>
  <c r="C324" i="8"/>
  <c r="D324" i="8" s="1"/>
  <c r="C325" i="8"/>
  <c r="D325" i="8" s="1"/>
  <c r="C326" i="8"/>
  <c r="D326" i="8" s="1"/>
  <c r="C327" i="8"/>
  <c r="D327" i="8" s="1"/>
  <c r="C328" i="8"/>
  <c r="D328" i="8" s="1"/>
  <c r="C329" i="8"/>
  <c r="D329" i="8" s="1"/>
  <c r="C330" i="8"/>
  <c r="D330" i="8" s="1"/>
  <c r="C331" i="8"/>
  <c r="D331" i="8" s="1"/>
  <c r="C332" i="8"/>
  <c r="D332" i="8" s="1"/>
  <c r="C333" i="8"/>
  <c r="D333" i="8" s="1"/>
  <c r="C334" i="8"/>
  <c r="D334" i="8" s="1"/>
  <c r="C335" i="8"/>
  <c r="D335" i="8" s="1"/>
  <c r="C336" i="8"/>
  <c r="D336" i="8" s="1"/>
  <c r="C337" i="8"/>
  <c r="D337" i="8" s="1"/>
  <c r="C338" i="8"/>
  <c r="D338" i="8" s="1"/>
  <c r="C339" i="8"/>
  <c r="D339" i="8" s="1"/>
  <c r="C340" i="8"/>
  <c r="D340" i="8" s="1"/>
  <c r="C341" i="8"/>
  <c r="D341" i="8" s="1"/>
  <c r="C342" i="8"/>
  <c r="D342" i="8" s="1"/>
  <c r="C343" i="8"/>
  <c r="D343" i="8" s="1"/>
  <c r="C344" i="8"/>
  <c r="D344" i="8" s="1"/>
  <c r="C345" i="8"/>
  <c r="D345" i="8" s="1"/>
  <c r="C346" i="8"/>
  <c r="D346" i="8" s="1"/>
  <c r="C347" i="8"/>
  <c r="D347" i="8" s="1"/>
  <c r="C348" i="8"/>
  <c r="D348" i="8" s="1"/>
  <c r="C349" i="8"/>
  <c r="D349" i="8" s="1"/>
  <c r="C350" i="8"/>
  <c r="D350" i="8" s="1"/>
  <c r="C351" i="8"/>
  <c r="D351" i="8" s="1"/>
  <c r="C352" i="8"/>
  <c r="D352" i="8" s="1"/>
  <c r="C353" i="8"/>
  <c r="D353" i="8" s="1"/>
  <c r="C354" i="8"/>
  <c r="D354" i="8" s="1"/>
  <c r="C355" i="8"/>
  <c r="D355" i="8" s="1"/>
  <c r="C356" i="8"/>
  <c r="D356" i="8" s="1"/>
  <c r="C357" i="8"/>
  <c r="D357" i="8" s="1"/>
  <c r="C358" i="8"/>
  <c r="D358" i="8" s="1"/>
  <c r="C359" i="8"/>
  <c r="D359" i="8" s="1"/>
  <c r="C360" i="8"/>
  <c r="D360" i="8" s="1"/>
  <c r="C361" i="8"/>
  <c r="D361" i="8" s="1"/>
  <c r="C362" i="8"/>
  <c r="D362" i="8" s="1"/>
  <c r="C363" i="8"/>
  <c r="D363" i="8" s="1"/>
  <c r="C364" i="8"/>
  <c r="D364" i="8" s="1"/>
  <c r="C365" i="8"/>
  <c r="D365" i="8" s="1"/>
  <c r="C366" i="8"/>
  <c r="D366" i="8" s="1"/>
  <c r="C367" i="8"/>
  <c r="D367" i="8" s="1"/>
  <c r="C368" i="8"/>
  <c r="D368" i="8" s="1"/>
  <c r="C369" i="8"/>
  <c r="D369" i="8" s="1"/>
  <c r="C370" i="8"/>
  <c r="D370" i="8" s="1"/>
  <c r="C371" i="8"/>
  <c r="D371" i="8" s="1"/>
  <c r="C372" i="8"/>
  <c r="D372" i="8" s="1"/>
  <c r="C373" i="8"/>
  <c r="D373" i="8" s="1"/>
  <c r="C374" i="8"/>
  <c r="D374" i="8" s="1"/>
  <c r="C375" i="8"/>
  <c r="C376" i="8"/>
  <c r="D376" i="8" s="1"/>
  <c r="C377" i="8"/>
  <c r="D377" i="8" s="1"/>
  <c r="C378" i="8"/>
  <c r="D378" i="8" s="1"/>
  <c r="C379" i="8"/>
  <c r="D379" i="8" s="1"/>
  <c r="C380" i="8"/>
  <c r="D380" i="8" s="1"/>
  <c r="C381" i="8"/>
  <c r="D381" i="8" s="1"/>
  <c r="C382" i="8"/>
  <c r="D382" i="8" s="1"/>
  <c r="C383" i="8"/>
  <c r="D383" i="8" s="1"/>
  <c r="C384" i="8"/>
  <c r="D384" i="8" s="1"/>
  <c r="C385" i="8"/>
  <c r="D385" i="8" s="1"/>
  <c r="C386" i="8"/>
  <c r="D386" i="8" s="1"/>
  <c r="C387" i="8"/>
  <c r="D387" i="8" s="1"/>
  <c r="C388" i="8"/>
  <c r="D388" i="8" s="1"/>
  <c r="C389" i="8"/>
  <c r="D389" i="8" s="1"/>
  <c r="C390" i="8"/>
  <c r="D390" i="8" s="1"/>
  <c r="C391" i="8"/>
  <c r="D391" i="8" s="1"/>
  <c r="C392" i="8"/>
  <c r="D392" i="8" s="1"/>
  <c r="C393" i="8"/>
  <c r="D393" i="8" s="1"/>
  <c r="C394" i="8"/>
  <c r="D394" i="8" s="1"/>
  <c r="C395" i="8"/>
  <c r="D395" i="8" s="1"/>
  <c r="C396" i="8"/>
  <c r="D396" i="8" s="1"/>
  <c r="C397" i="8"/>
  <c r="D397" i="8" s="1"/>
  <c r="C398" i="8"/>
  <c r="D398" i="8" s="1"/>
  <c r="C399" i="8"/>
  <c r="D399" i="8" s="1"/>
  <c r="C400" i="8"/>
  <c r="D400" i="8" s="1"/>
  <c r="F1" i="8"/>
  <c r="E1" i="8"/>
  <c r="D7" i="8"/>
  <c r="D39" i="8"/>
  <c r="D71" i="8"/>
  <c r="D87" i="8"/>
  <c r="D104" i="8"/>
  <c r="D151" i="8"/>
  <c r="D152" i="8"/>
  <c r="D199" i="8"/>
  <c r="D215" i="8"/>
  <c r="D231" i="8"/>
  <c r="D232" i="8"/>
  <c r="D263" i="8"/>
  <c r="D295" i="8"/>
  <c r="D375" i="8"/>
  <c r="C1" i="8"/>
  <c r="D1" i="8" s="1"/>
  <c r="I434" i="8" l="1"/>
  <c r="I468" i="8"/>
  <c r="I404" i="8"/>
  <c r="I472" i="8"/>
  <c r="I484" i="8"/>
  <c r="I416" i="8"/>
  <c r="I402" i="8"/>
  <c r="I452" i="8"/>
  <c r="I1" i="8"/>
  <c r="I438" i="8"/>
  <c r="I411" i="8"/>
  <c r="I427" i="8"/>
  <c r="I418" i="8"/>
  <c r="I445" i="8"/>
  <c r="D482" i="8"/>
  <c r="I482" i="8" s="1"/>
  <c r="I478" i="8"/>
  <c r="D466" i="8"/>
  <c r="I466" i="8" s="1"/>
  <c r="I462" i="8"/>
  <c r="D450" i="8"/>
  <c r="I450" i="8" s="1"/>
  <c r="I430" i="8"/>
  <c r="I457" i="8"/>
  <c r="I414" i="8"/>
  <c r="I485" i="8"/>
  <c r="I469" i="8"/>
  <c r="I453" i="8"/>
  <c r="I436" i="8"/>
  <c r="I420" i="8"/>
  <c r="I408" i="8"/>
  <c r="I405" i="8"/>
  <c r="I480" i="8"/>
  <c r="I464" i="8"/>
  <c r="I448" i="8"/>
  <c r="I432" i="8"/>
  <c r="I406" i="8"/>
  <c r="I476" i="8"/>
  <c r="I475" i="8"/>
  <c r="I491" i="8"/>
  <c r="I459" i="8"/>
  <c r="I443" i="8"/>
  <c r="I455" i="8"/>
  <c r="I483" i="8"/>
  <c r="I467" i="8"/>
  <c r="I451" i="8"/>
  <c r="I454" i="8"/>
  <c r="I417" i="8"/>
  <c r="I463" i="8"/>
  <c r="I479" i="8"/>
  <c r="I493" i="8"/>
  <c r="I461" i="8"/>
  <c r="I429" i="8"/>
  <c r="I413" i="8"/>
  <c r="I439" i="8"/>
  <c r="I473" i="8"/>
  <c r="I441" i="8"/>
  <c r="I425" i="8"/>
  <c r="I409" i="8"/>
  <c r="I489" i="8"/>
  <c r="I435" i="8"/>
  <c r="I419" i="8"/>
  <c r="I424" i="8"/>
  <c r="I446" i="8"/>
  <c r="I403" i="8"/>
  <c r="I422" i="8"/>
  <c r="I447" i="8"/>
  <c r="I481" i="8"/>
  <c r="I431" i="8"/>
  <c r="I465" i="8"/>
  <c r="I415" i="8"/>
  <c r="I488" i="8"/>
  <c r="I456" i="8"/>
  <c r="I440" i="8"/>
  <c r="I449" i="8"/>
  <c r="I437" i="8"/>
  <c r="I433" i="8"/>
  <c r="I421" i="8"/>
  <c r="I487" i="8"/>
  <c r="I444" i="8"/>
  <c r="I423" i="8"/>
  <c r="I477" i="8"/>
  <c r="I471" i="8"/>
  <c r="I412" i="8"/>
  <c r="I486" i="8"/>
  <c r="I460" i="8"/>
  <c r="I492" i="8"/>
  <c r="I470" i="8"/>
  <c r="I428" i="8"/>
  <c r="I407" i="8"/>
  <c r="I401" i="8"/>
  <c r="I490" i="8"/>
  <c r="I474" i="8"/>
  <c r="I458" i="8"/>
  <c r="I442" i="8"/>
  <c r="I426" i="8"/>
  <c r="I410" i="8"/>
  <c r="I369" i="8"/>
  <c r="I160" i="8"/>
  <c r="I128" i="8"/>
  <c r="I287" i="8"/>
  <c r="I318" i="8"/>
  <c r="I238" i="8"/>
  <c r="I174" i="8"/>
  <c r="I110" i="8"/>
  <c r="I349" i="8"/>
  <c r="I269" i="8"/>
  <c r="I157" i="8"/>
  <c r="I109" i="8"/>
  <c r="I93" i="8"/>
  <c r="I396" i="8"/>
  <c r="I284" i="8"/>
  <c r="I395" i="8"/>
  <c r="I394" i="8"/>
  <c r="I393" i="8"/>
  <c r="I281" i="8"/>
  <c r="I9" i="8"/>
  <c r="I392" i="8"/>
  <c r="I72" i="8"/>
  <c r="I24" i="8"/>
  <c r="I8" i="8"/>
  <c r="I391" i="8"/>
  <c r="I343" i="8"/>
  <c r="I7" i="8"/>
  <c r="I390" i="8"/>
  <c r="I326" i="8"/>
  <c r="I278" i="8"/>
  <c r="I86" i="8"/>
  <c r="I70" i="8"/>
  <c r="I6" i="8"/>
  <c r="I261" i="8"/>
  <c r="I5" i="8"/>
  <c r="I372" i="8"/>
  <c r="I292" i="8"/>
  <c r="I228" i="8"/>
  <c r="I4" i="8"/>
  <c r="I307" i="8"/>
  <c r="I211" i="8"/>
  <c r="I83" i="8"/>
  <c r="I3" i="8"/>
  <c r="I2" i="8"/>
  <c r="I400" i="8"/>
  <c r="I384" i="8"/>
  <c r="I368" i="8"/>
  <c r="I352" i="8"/>
  <c r="I336" i="8"/>
  <c r="I320" i="8"/>
  <c r="I304" i="8"/>
  <c r="I288" i="8"/>
  <c r="I272" i="8"/>
  <c r="I256" i="8"/>
  <c r="I240" i="8"/>
  <c r="I224" i="8"/>
  <c r="I208" i="8"/>
  <c r="I192" i="8"/>
  <c r="I176" i="8"/>
  <c r="I144" i="8"/>
  <c r="I112" i="8"/>
  <c r="I96" i="8"/>
  <c r="I80" i="8"/>
  <c r="I64" i="8"/>
  <c r="I48" i="8"/>
  <c r="I32" i="8"/>
  <c r="I16" i="8"/>
  <c r="I399" i="8"/>
  <c r="I383" i="8"/>
  <c r="I367" i="8"/>
  <c r="I351" i="8"/>
  <c r="I335" i="8"/>
  <c r="I319" i="8"/>
  <c r="I303" i="8"/>
  <c r="I271" i="8"/>
  <c r="I255" i="8"/>
  <c r="I239" i="8"/>
  <c r="I223" i="8"/>
  <c r="I207" i="8"/>
  <c r="I191" i="8"/>
  <c r="I175" i="8"/>
  <c r="I159" i="8"/>
  <c r="I143" i="8"/>
  <c r="I127" i="8"/>
  <c r="I111" i="8"/>
  <c r="I95" i="8"/>
  <c r="I79" i="8"/>
  <c r="I63" i="8"/>
  <c r="I47" i="8"/>
  <c r="I31" i="8"/>
  <c r="I15" i="8"/>
  <c r="I398" i="8"/>
  <c r="I382" i="8"/>
  <c r="I366" i="8"/>
  <c r="I350" i="8"/>
  <c r="I334" i="8"/>
  <c r="I302" i="8"/>
  <c r="I286" i="8"/>
  <c r="I270" i="8"/>
  <c r="I254" i="8"/>
  <c r="I222" i="8"/>
  <c r="I206" i="8"/>
  <c r="I190" i="8"/>
  <c r="I158" i="8"/>
  <c r="I142" i="8"/>
  <c r="I126" i="8"/>
  <c r="I94" i="8"/>
  <c r="I78" i="8"/>
  <c r="I62" i="8"/>
  <c r="I46" i="8"/>
  <c r="I30" i="8"/>
  <c r="I14" i="8"/>
  <c r="I397" i="8"/>
  <c r="I381" i="8"/>
  <c r="I365" i="8"/>
  <c r="I333" i="8"/>
  <c r="I317" i="8"/>
  <c r="I301" i="8"/>
  <c r="I285" i="8"/>
  <c r="I253" i="8"/>
  <c r="I237" i="8"/>
  <c r="I221" i="8"/>
  <c r="I205" i="8"/>
  <c r="I189" i="8"/>
  <c r="I173" i="8"/>
  <c r="I141" i="8"/>
  <c r="I125" i="8"/>
  <c r="I77" i="8"/>
  <c r="I61" i="8"/>
  <c r="I45" i="8"/>
  <c r="I29" i="8"/>
  <c r="I13" i="8"/>
  <c r="I380" i="8"/>
  <c r="I364" i="8"/>
  <c r="I348" i="8"/>
  <c r="I332" i="8"/>
  <c r="I316" i="8"/>
  <c r="I300" i="8"/>
  <c r="I268" i="8"/>
  <c r="I252" i="8"/>
  <c r="I236" i="8"/>
  <c r="I220" i="8"/>
  <c r="I204" i="8"/>
  <c r="I188" i="8"/>
  <c r="I172" i="8"/>
  <c r="I156" i="8"/>
  <c r="I140" i="8"/>
  <c r="I124" i="8"/>
  <c r="I108" i="8"/>
  <c r="I92" i="8"/>
  <c r="I76" i="8"/>
  <c r="I60" i="8"/>
  <c r="I44" i="8"/>
  <c r="I28" i="8"/>
  <c r="I12" i="8"/>
  <c r="I379" i="8"/>
  <c r="I363" i="8"/>
  <c r="I347" i="8"/>
  <c r="I331" i="8"/>
  <c r="I315" i="8"/>
  <c r="I299" i="8"/>
  <c r="I283" i="8"/>
  <c r="I267" i="8"/>
  <c r="I251" i="8"/>
  <c r="I235" i="8"/>
  <c r="I219" i="8"/>
  <c r="I203" i="8"/>
  <c r="I187" i="8"/>
  <c r="I171" i="8"/>
  <c r="I155" i="8"/>
  <c r="I139" i="8"/>
  <c r="I123" i="8"/>
  <c r="I107" i="8"/>
  <c r="I91" i="8"/>
  <c r="I75" i="8"/>
  <c r="I59" i="8"/>
  <c r="I43" i="8"/>
  <c r="I27" i="8"/>
  <c r="I11" i="8"/>
  <c r="I378" i="8"/>
  <c r="I362" i="8"/>
  <c r="I346" i="8"/>
  <c r="I330" i="8"/>
  <c r="I314" i="8"/>
  <c r="I298" i="8"/>
  <c r="I282" i="8"/>
  <c r="I266" i="8"/>
  <c r="I250" i="8"/>
  <c r="I234" i="8"/>
  <c r="I218" i="8"/>
  <c r="I202" i="8"/>
  <c r="I186" i="8"/>
  <c r="I170" i="8"/>
  <c r="I154" i="8"/>
  <c r="I138" i="8"/>
  <c r="I122" i="8"/>
  <c r="I106" i="8"/>
  <c r="I90" i="8"/>
  <c r="I74" i="8"/>
  <c r="I58" i="8"/>
  <c r="I42" i="8"/>
  <c r="I26" i="8"/>
  <c r="I10" i="8"/>
  <c r="I377" i="8"/>
  <c r="I361" i="8"/>
  <c r="I345" i="8"/>
  <c r="I329" i="8"/>
  <c r="I313" i="8"/>
  <c r="I297" i="8"/>
  <c r="I265" i="8"/>
  <c r="I249" i="8"/>
  <c r="I233" i="8"/>
  <c r="I217" i="8"/>
  <c r="I201" i="8"/>
  <c r="I185" i="8"/>
  <c r="I169" i="8"/>
  <c r="I153" i="8"/>
  <c r="I137" i="8"/>
  <c r="I121" i="8"/>
  <c r="I105" i="8"/>
  <c r="I89" i="8"/>
  <c r="I73" i="8"/>
  <c r="I57" i="8"/>
  <c r="I41" i="8"/>
  <c r="I25" i="8"/>
  <c r="I376" i="8"/>
  <c r="I360" i="8"/>
  <c r="I344" i="8"/>
  <c r="I328" i="8"/>
  <c r="I312" i="8"/>
  <c r="I296" i="8"/>
  <c r="I280" i="8"/>
  <c r="I264" i="8"/>
  <c r="I248" i="8"/>
  <c r="I232" i="8"/>
  <c r="I216" i="8"/>
  <c r="I200" i="8"/>
  <c r="I184" i="8"/>
  <c r="I168" i="8"/>
  <c r="I152" i="8"/>
  <c r="I136" i="8"/>
  <c r="I120" i="8"/>
  <c r="I104" i="8"/>
  <c r="I88" i="8"/>
  <c r="I56" i="8"/>
  <c r="I40" i="8"/>
  <c r="I375" i="8"/>
  <c r="I359" i="8"/>
  <c r="I327" i="8"/>
  <c r="I311" i="8"/>
  <c r="I295" i="8"/>
  <c r="I279" i="8"/>
  <c r="I263" i="8"/>
  <c r="I247" i="8"/>
  <c r="I231" i="8"/>
  <c r="I215" i="8"/>
  <c r="I199" i="8"/>
  <c r="I183" i="8"/>
  <c r="I167" i="8"/>
  <c r="I151" i="8"/>
  <c r="I135" i="8"/>
  <c r="I119" i="8"/>
  <c r="I103" i="8"/>
  <c r="I87" i="8"/>
  <c r="I71" i="8"/>
  <c r="I55" i="8"/>
  <c r="I39" i="8"/>
  <c r="I23" i="8"/>
  <c r="I374" i="8"/>
  <c r="I358" i="8"/>
  <c r="I342" i="8"/>
  <c r="I310" i="8"/>
  <c r="I294" i="8"/>
  <c r="I262" i="8"/>
  <c r="I246" i="8"/>
  <c r="I230" i="8"/>
  <c r="I214" i="8"/>
  <c r="I198" i="8"/>
  <c r="I182" i="8"/>
  <c r="I166" i="8"/>
  <c r="I150" i="8"/>
  <c r="I134" i="8"/>
  <c r="I118" i="8"/>
  <c r="I102" i="8"/>
  <c r="I54" i="8"/>
  <c r="I38" i="8"/>
  <c r="I22" i="8"/>
  <c r="I389" i="8"/>
  <c r="I373" i="8"/>
  <c r="I357" i="8"/>
  <c r="I341" i="8"/>
  <c r="I325" i="8"/>
  <c r="I309" i="8"/>
  <c r="I293" i="8"/>
  <c r="I277" i="8"/>
  <c r="I245" i="8"/>
  <c r="I229" i="8"/>
  <c r="I213" i="8"/>
  <c r="I197" i="8"/>
  <c r="I181" i="8"/>
  <c r="I165" i="8"/>
  <c r="I149" i="8"/>
  <c r="I133" i="8"/>
  <c r="I117" i="8"/>
  <c r="I101" i="8"/>
  <c r="I85" i="8"/>
  <c r="I69" i="8"/>
  <c r="I53" i="8"/>
  <c r="I37" i="8"/>
  <c r="I21" i="8"/>
  <c r="I388" i="8"/>
  <c r="I356" i="8"/>
  <c r="I340" i="8"/>
  <c r="I324" i="8"/>
  <c r="I308" i="8"/>
  <c r="I276" i="8"/>
  <c r="I260" i="8"/>
  <c r="I244" i="8"/>
  <c r="I212" i="8"/>
  <c r="I196" i="8"/>
  <c r="I180" i="8"/>
  <c r="I164" i="8"/>
  <c r="I148" i="8"/>
  <c r="I132" i="8"/>
  <c r="I116" i="8"/>
  <c r="I100" i="8"/>
  <c r="I84" i="8"/>
  <c r="I68" i="8"/>
  <c r="I52" i="8"/>
  <c r="I36" i="8"/>
  <c r="I20" i="8"/>
  <c r="I387" i="8"/>
  <c r="I371" i="8"/>
  <c r="I355" i="8"/>
  <c r="I339" i="8"/>
  <c r="I323" i="8"/>
  <c r="I291" i="8"/>
  <c r="I275" i="8"/>
  <c r="I259" i="8"/>
  <c r="I243" i="8"/>
  <c r="I227" i="8"/>
  <c r="I195" i="8"/>
  <c r="I179" i="8"/>
  <c r="I163" i="8"/>
  <c r="I147" i="8"/>
  <c r="I131" i="8"/>
  <c r="I115" i="8"/>
  <c r="I99" i="8"/>
  <c r="I67" i="8"/>
  <c r="I51" i="8"/>
  <c r="I35" i="8"/>
  <c r="I19" i="8"/>
  <c r="I386" i="8"/>
  <c r="I370" i="8"/>
  <c r="I354" i="8"/>
  <c r="I338" i="8"/>
  <c r="I322" i="8"/>
  <c r="I306" i="8"/>
  <c r="I290" i="8"/>
  <c r="I274" i="8"/>
  <c r="I258" i="8"/>
  <c r="I242" i="8"/>
  <c r="I226" i="8"/>
  <c r="I210" i="8"/>
  <c r="I194" i="8"/>
  <c r="I178" i="8"/>
  <c r="I162" i="8"/>
  <c r="I146" i="8"/>
  <c r="I130" i="8"/>
  <c r="I114" i="8"/>
  <c r="I98" i="8"/>
  <c r="I82" i="8"/>
  <c r="I66" i="8"/>
  <c r="I50" i="8"/>
  <c r="I34" i="8"/>
  <c r="I18" i="8"/>
  <c r="I385" i="8"/>
  <c r="I353" i="8"/>
  <c r="I337" i="8"/>
  <c r="I321" i="8"/>
  <c r="I305" i="8"/>
  <c r="I289" i="8"/>
  <c r="I273" i="8"/>
  <c r="I257" i="8"/>
  <c r="I241" i="8"/>
  <c r="I225" i="8"/>
  <c r="I209" i="8"/>
  <c r="I193" i="8"/>
  <c r="I177" i="8"/>
  <c r="I161" i="8"/>
  <c r="I145" i="8"/>
  <c r="I129" i="8"/>
  <c r="I113" i="8"/>
  <c r="I97" i="8"/>
  <c r="I81" i="8"/>
  <c r="I65" i="8"/>
  <c r="I49" i="8"/>
  <c r="I33" i="8"/>
  <c r="I17" i="8"/>
</calcChain>
</file>

<file path=xl/sharedStrings.xml><?xml version="1.0" encoding="utf-8"?>
<sst xmlns="http://schemas.openxmlformats.org/spreadsheetml/2006/main" count="10574" uniqueCount="3854">
  <si>
    <t>Chikorita</t>
  </si>
  <si>
    <t>Bayleef</t>
  </si>
  <si>
    <t>Meganium</t>
  </si>
  <si>
    <t>Tepig</t>
  </si>
  <si>
    <t>Pignite</t>
  </si>
  <si>
    <t>Emboar</t>
  </si>
  <si>
    <t>Totodile</t>
  </si>
  <si>
    <t>Croconaw</t>
  </si>
  <si>
    <t>Feraligatr</t>
  </si>
  <si>
    <t>Fletchling</t>
  </si>
  <si>
    <t>Fletchinder</t>
  </si>
  <si>
    <t>Talonflame</t>
  </si>
  <si>
    <t>Bunnelby</t>
  </si>
  <si>
    <t>Diggersby</t>
  </si>
  <si>
    <t>Scatterbug</t>
  </si>
  <si>
    <t>Spewpa</t>
  </si>
  <si>
    <t>Vivillon</t>
  </si>
  <si>
    <t>Weedle</t>
  </si>
  <si>
    <t>Kakuna</t>
  </si>
  <si>
    <t>Beedrill</t>
  </si>
  <si>
    <t>Pidgey</t>
  </si>
  <si>
    <t>Pidgeotto</t>
  </si>
  <si>
    <t>Pidgeot</t>
  </si>
  <si>
    <t>Mareep</t>
  </si>
  <si>
    <t>Flaaffy</t>
  </si>
  <si>
    <t>Ampharos</t>
  </si>
  <si>
    <t>Patrat</t>
  </si>
  <si>
    <t>Watchog</t>
  </si>
  <si>
    <t>Budew</t>
  </si>
  <si>
    <t>Roselia</t>
  </si>
  <si>
    <t>Roserade</t>
  </si>
  <si>
    <t>Magikarp</t>
  </si>
  <si>
    <t>Gyarados</t>
  </si>
  <si>
    <t>Binacle</t>
  </si>
  <si>
    <t>Barbaracle</t>
  </si>
  <si>
    <t>Staryu</t>
  </si>
  <si>
    <t>Starmie</t>
  </si>
  <si>
    <t>Flabébé</t>
  </si>
  <si>
    <t>Floette</t>
  </si>
  <si>
    <t>Florges</t>
  </si>
  <si>
    <t>Skiddo</t>
  </si>
  <si>
    <t>Gogoat</t>
  </si>
  <si>
    <t>Espurr</t>
  </si>
  <si>
    <t>Meowstic</t>
  </si>
  <si>
    <t>Litleo</t>
  </si>
  <si>
    <t>Pyroar</t>
  </si>
  <si>
    <t>Pancham</t>
  </si>
  <si>
    <t>Pangoro</t>
  </si>
  <si>
    <t>Trubbish</t>
  </si>
  <si>
    <t>Garbodor</t>
  </si>
  <si>
    <t>Dedenne</t>
  </si>
  <si>
    <t>Pichu</t>
  </si>
  <si>
    <t>Pikachu</t>
  </si>
  <si>
    <t>Raichu</t>
  </si>
  <si>
    <t>Cleffa</t>
  </si>
  <si>
    <t>Clefairy</t>
  </si>
  <si>
    <t>Clefable</t>
  </si>
  <si>
    <t>Spinarak</t>
  </si>
  <si>
    <t>Ariados</t>
  </si>
  <si>
    <t>Ekans</t>
  </si>
  <si>
    <t>Arbok</t>
  </si>
  <si>
    <t>Abra</t>
  </si>
  <si>
    <t>Kadabra</t>
  </si>
  <si>
    <t>Alakazam</t>
  </si>
  <si>
    <t>Gastly</t>
  </si>
  <si>
    <t>Haunter</t>
  </si>
  <si>
    <t>Gengar</t>
  </si>
  <si>
    <t>Venipede</t>
  </si>
  <si>
    <t>Whirlipede</t>
  </si>
  <si>
    <t>Scolipede</t>
  </si>
  <si>
    <t>Honedge</t>
  </si>
  <si>
    <t>Doublade</t>
  </si>
  <si>
    <t>Aegislash</t>
  </si>
  <si>
    <t>Bellsprout</t>
  </si>
  <si>
    <t>Weepinbell</t>
  </si>
  <si>
    <t>Victreebel</t>
  </si>
  <si>
    <t>Pansage</t>
  </si>
  <si>
    <t>Simisage</t>
  </si>
  <si>
    <t>Pansear</t>
  </si>
  <si>
    <t>Simisear</t>
  </si>
  <si>
    <t>Panpour</t>
  </si>
  <si>
    <t>Simipour</t>
  </si>
  <si>
    <t>Meditite</t>
  </si>
  <si>
    <t>Medicham</t>
  </si>
  <si>
    <t>Electrike</t>
  </si>
  <si>
    <t>Manectric</t>
  </si>
  <si>
    <t>Ralts</t>
  </si>
  <si>
    <t>Kirlia</t>
  </si>
  <si>
    <t>Gardevoir</t>
  </si>
  <si>
    <t>Gallade</t>
  </si>
  <si>
    <t>Houndour</t>
  </si>
  <si>
    <t>Houndoom</t>
  </si>
  <si>
    <t>Swablu</t>
  </si>
  <si>
    <t>Altaria</t>
  </si>
  <si>
    <t>Audino</t>
  </si>
  <si>
    <t>Spritzee</t>
  </si>
  <si>
    <t>Aromatisse</t>
  </si>
  <si>
    <t>Swirlix</t>
  </si>
  <si>
    <t>Slurpuff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</si>
  <si>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</si>
  <si>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</si>
  <si>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</si>
  <si>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</si>
  <si>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</si>
  <si>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</si>
  <si>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</si>
  <si>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</si>
  <si>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</si>
  <si>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Buneary</t>
  </si>
  <si>
    <t>Lopunny</t>
  </si>
  <si>
    <t>Shuppet</t>
  </si>
  <si>
    <t>Banette</t>
  </si>
  <si>
    <t>Vanillite</t>
  </si>
  <si>
    <t>Vanillish</t>
  </si>
  <si>
    <t>Vanilluxe</t>
  </si>
  <si>
    <t>Numel</t>
  </si>
  <si>
    <t>Camerupt</t>
  </si>
  <si>
    <t>Hippopotas</t>
  </si>
  <si>
    <t>Hippowdon</t>
  </si>
  <si>
    <t>Drilbur</t>
  </si>
  <si>
    <t>Excadrill</t>
  </si>
  <si>
    <t>Sandile</t>
  </si>
  <si>
    <t>Krokorok</t>
  </si>
  <si>
    <t>Krookodile</t>
  </si>
  <si>
    <t>Machop</t>
  </si>
  <si>
    <t>Machoke</t>
  </si>
  <si>
    <t>Machamp</t>
  </si>
  <si>
    <t>Gible</t>
  </si>
  <si>
    <t>Gabite</t>
  </si>
  <si>
    <t>Garchomp</t>
  </si>
  <si>
    <t>Carbink</t>
  </si>
  <si>
    <t>Sableye</t>
  </si>
  <si>
    <t>Mawile</t>
  </si>
  <si>
    <t>Absol</t>
  </si>
  <si>
    <t>Riolu</t>
  </si>
  <si>
    <t>Lucario</t>
  </si>
  <si>
    <t>Slowpoke</t>
  </si>
  <si>
    <t>Slowbro</t>
  </si>
  <si>
    <t>Slowking</t>
  </si>
  <si>
    <t>Carvanha</t>
  </si>
  <si>
    <t>Sharpedo</t>
  </si>
  <si>
    <t>Tynamo</t>
  </si>
  <si>
    <t>Eelektrik</t>
  </si>
  <si>
    <t>Eelektross</t>
  </si>
  <si>
    <t>Dratini</t>
  </si>
  <si>
    <t>Dragonair</t>
  </si>
  <si>
    <t>Dragonite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</si>
  <si>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</si>
  <si>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</si>
  <si>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</si>
  <si>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</si>
  <si>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</si>
  <si>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</si>
  <si>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</si>
  <si>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</si>
  <si>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</si>
  <si>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Stunfisk</t>
  </si>
  <si>
    <t>Furfrou</t>
  </si>
  <si>
    <t>Inkay</t>
  </si>
  <si>
    <t>Malamar</t>
  </si>
  <si>
    <t>Skrelp</t>
  </si>
  <si>
    <t>Dragalge</t>
  </si>
  <si>
    <t>Clauncher</t>
  </si>
  <si>
    <t>Clawitzer</t>
  </si>
  <si>
    <t>Goomy</t>
  </si>
  <si>
    <t>Sliggoo</t>
  </si>
  <si>
    <t>Goodra</t>
  </si>
  <si>
    <t>Delibird</t>
  </si>
  <si>
    <t>Snorunt</t>
  </si>
  <si>
    <t>Glalie</t>
  </si>
  <si>
    <t>Froslass</t>
  </si>
  <si>
    <t>Snover</t>
  </si>
  <si>
    <t>Abomasnow</t>
  </si>
  <si>
    <t>Bergmite</t>
  </si>
  <si>
    <t>Avalugg</t>
  </si>
  <si>
    <t>Scyther</t>
  </si>
  <si>
    <t>Scizor</t>
  </si>
  <si>
    <t>Pinsir</t>
  </si>
  <si>
    <t>Heracross</t>
  </si>
  <si>
    <t>Emolga</t>
  </si>
  <si>
    <t>Hawlucha</t>
  </si>
  <si>
    <t>Phantump</t>
  </si>
  <si>
    <t>Trevenant</t>
  </si>
  <si>
    <t>Scraggy</t>
  </si>
  <si>
    <t>Scrafty</t>
  </si>
  <si>
    <t>Noibat</t>
  </si>
  <si>
    <t>Noivern</t>
  </si>
  <si>
    <t>Klefki</t>
  </si>
  <si>
    <t>Litwick</t>
  </si>
  <si>
    <t>Lampent</t>
  </si>
  <si>
    <t>Chandelure</t>
  </si>
  <si>
    <t>Aerodactyl</t>
  </si>
  <si>
    <t>Tyrunt</t>
  </si>
  <si>
    <t>Tyrantrum</t>
  </si>
  <si>
    <t>Amaura</t>
  </si>
  <si>
    <t>Aurorus</t>
  </si>
  <si>
    <t>Onix</t>
  </si>
  <si>
    <t>Steelix</t>
  </si>
  <si>
    <t>Aron</t>
  </si>
  <si>
    <t>Lairon</t>
  </si>
  <si>
    <t>Aggron</t>
  </si>
  <si>
    <t>Helioptile</t>
  </si>
  <si>
    <t>Heliolisk</t>
  </si>
  <si>
    <t>Pumpkaboo</t>
  </si>
  <si>
    <t>Gourgeist</t>
  </si>
  <si>
    <t>Larvitar</t>
  </si>
  <si>
    <t>Pupitar</t>
  </si>
  <si>
    <t>Tyranitar</t>
  </si>
  <si>
    <t>Froakie</t>
  </si>
  <si>
    <t>Frogadier</t>
  </si>
  <si>
    <t>Greninja</t>
  </si>
  <si>
    <t>Falinks</t>
  </si>
  <si>
    <t>Chespin</t>
  </si>
  <si>
    <t>Quilladin</t>
  </si>
  <si>
    <t>Chesnaught</t>
  </si>
  <si>
    <t>Skarmory</t>
  </si>
  <si>
    <t>Fennekin</t>
  </si>
  <si>
    <t>Braixen</t>
  </si>
  <si>
    <t>Delphox</t>
  </si>
  <si>
    <t>Bagon</t>
  </si>
  <si>
    <t>Shelgon</t>
  </si>
  <si>
    <t>Salamence</t>
  </si>
  <si>
    <t>Kangaskhan</t>
  </si>
  <si>
    <t>Drampa</t>
  </si>
  <si>
    <t>Beldum</t>
  </si>
  <si>
    <t>Metang</t>
  </si>
  <si>
    <t>Metagross</t>
  </si>
  <si>
    <t>Xerneas</t>
  </si>
  <si>
    <t>Yveltal</t>
  </si>
  <si>
    <t>Zygarde</t>
  </si>
  <si>
    <t>Diancie</t>
  </si>
  <si>
    <t>Mewtwo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</si>
  <si>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</si>
  <si>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</si>
  <si>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</si>
  <si>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</si>
  <si>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</si>
  <si>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</si>
  <si>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</si>
  <si>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</si>
  <si>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</si>
  <si>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Blipbug</t>
  </si>
  <si>
    <t>Dottler</t>
  </si>
  <si>
    <t>Orbeetle</t>
  </si>
  <si>
    <t>Caterpie</t>
  </si>
  <si>
    <t>Metapod</t>
  </si>
  <si>
    <t>Butterfree</t>
  </si>
  <si>
    <t>Grubbin</t>
  </si>
  <si>
    <t>Charjabug</t>
  </si>
  <si>
    <t>Vikavolt</t>
  </si>
  <si>
    <t>Hoothoot</t>
  </si>
  <si>
    <t>Noctowl</t>
  </si>
  <si>
    <t>Rookidee</t>
  </si>
  <si>
    <t>Corvisquire</t>
  </si>
  <si>
    <t>Corviknight</t>
  </si>
  <si>
    <t>Skwovet</t>
  </si>
  <si>
    <t>Greedent</t>
  </si>
  <si>
    <t>Pidove</t>
  </si>
  <si>
    <t>Tranquill</t>
  </si>
  <si>
    <t>Unfezant</t>
  </si>
  <si>
    <t>Nickit</t>
  </si>
  <si>
    <t>Thievul</t>
  </si>
  <si>
    <t>Zigzagoon</t>
  </si>
  <si>
    <t>Linoone</t>
  </si>
  <si>
    <t>Obstagoon</t>
  </si>
  <si>
    <t>Wooloo</t>
  </si>
  <si>
    <t>Dubwool</t>
  </si>
  <si>
    <t>Lotad</t>
  </si>
  <si>
    <t>Lombre</t>
  </si>
  <si>
    <t>Ludicolo</t>
  </si>
  <si>
    <t>Seedot</t>
  </si>
  <si>
    <t>Nuzleaf</t>
  </si>
  <si>
    <t>Shiftry</t>
  </si>
  <si>
    <t>Chewtle</t>
  </si>
  <si>
    <t>Drednaw</t>
  </si>
  <si>
    <t>Purrloin</t>
  </si>
  <si>
    <t>Liepard</t>
  </si>
  <si>
    <t>Yamper</t>
  </si>
  <si>
    <t>Boltund</t>
  </si>
  <si>
    <t>Minccino</t>
  </si>
  <si>
    <t>Cinccino</t>
  </si>
  <si>
    <t>Bounsweet</t>
  </si>
  <si>
    <t>Steenee</t>
  </si>
  <si>
    <t>Tsareena</t>
  </si>
  <si>
    <t>Oddish</t>
  </si>
  <si>
    <t>Gloom</t>
  </si>
  <si>
    <t>Vileplume</t>
  </si>
  <si>
    <t>Bellossom</t>
  </si>
  <si>
    <t>Wingull</t>
  </si>
  <si>
    <t>Pelipper</t>
  </si>
  <si>
    <t>Joltik</t>
  </si>
  <si>
    <t>Galvantula</t>
  </si>
  <si>
    <t>Vulpix</t>
  </si>
  <si>
    <t>Ninetales</t>
  </si>
  <si>
    <t>Growlithe</t>
  </si>
  <si>
    <t>Arcanine</t>
  </si>
  <si>
    <t>Swinub</t>
  </si>
  <si>
    <t>Piloswine</t>
  </si>
  <si>
    <t>Mamoswine</t>
  </si>
  <si>
    <t>Baltoy</t>
  </si>
  <si>
    <t>Claydol</t>
  </si>
  <si>
    <t>Mudbray</t>
  </si>
  <si>
    <t>Mudsdale</t>
  </si>
  <si>
    <t>Dwebble</t>
  </si>
  <si>
    <t>Crustle</t>
  </si>
  <si>
    <t>Golett</t>
  </si>
  <si>
    <t>Golurk</t>
  </si>
  <si>
    <t>Munna</t>
  </si>
  <si>
    <t>Musharna</t>
  </si>
  <si>
    <t>Natu</t>
  </si>
  <si>
    <t>Xatu</t>
  </si>
  <si>
    <t>Stufful</t>
  </si>
  <si>
    <t>Bewear</t>
  </si>
  <si>
    <t>Krabby</t>
  </si>
  <si>
    <t>Kingler</t>
  </si>
  <si>
    <t>Wooper</t>
  </si>
  <si>
    <t>Quagsire</t>
  </si>
  <si>
    <t>Corphish</t>
  </si>
  <si>
    <t>Crawdaunt</t>
  </si>
  <si>
    <t>Nincada</t>
  </si>
  <si>
    <t>Ninjask</t>
  </si>
  <si>
    <t>Shedinja</t>
  </si>
  <si>
    <t>Tyrogue</t>
  </si>
  <si>
    <t>Hitmonlee</t>
  </si>
  <si>
    <t>Hitmonchan</t>
  </si>
  <si>
    <t>Hitmontop</t>
  </si>
  <si>
    <t>Klink</t>
  </si>
  <si>
    <t>Klang</t>
  </si>
  <si>
    <t>Klinklang</t>
  </si>
  <si>
    <t>Combee</t>
  </si>
  <si>
    <t>Vespiquen</t>
  </si>
  <si>
    <t>Bronzor</t>
  </si>
  <si>
    <t>Bronzong</t>
  </si>
  <si>
    <t>Galarian Zigzagoon</t>
  </si>
  <si>
    <t>Galarian Linoone</t>
  </si>
  <si>
    <t>Drifloon</t>
  </si>
  <si>
    <t>Drifblim</t>
  </si>
  <si>
    <t>Gossifleur</t>
  </si>
  <si>
    <t>Eldegoss</t>
  </si>
  <si>
    <t>Cherubi</t>
  </si>
  <si>
    <t>Cherrim</t>
  </si>
  <si>
    <t>Stunky</t>
  </si>
  <si>
    <t>Skuntank</t>
  </si>
  <si>
    <t>Tympole</t>
  </si>
  <si>
    <t>Palpitoad</t>
  </si>
  <si>
    <t>Seismitoad</t>
  </si>
  <si>
    <t>Duskull</t>
  </si>
  <si>
    <t>Dusclops</t>
  </si>
  <si>
    <t>Dusknoir</t>
  </si>
  <si>
    <t>Goldeen</t>
  </si>
  <si>
    <t>Seaking</t>
  </si>
  <si>
    <t>Remoraid</t>
  </si>
  <si>
    <t>Octillery</t>
  </si>
  <si>
    <t>Shellder</t>
  </si>
  <si>
    <t>Cloyster</t>
  </si>
  <si>
    <t>Feebas</t>
  </si>
  <si>
    <t>Milotic</t>
  </si>
  <si>
    <t>Basculin</t>
  </si>
  <si>
    <t>Wishiwashi</t>
  </si>
  <si>
    <t>Pyukumuku</t>
  </si>
  <si>
    <t>Sizzlipede</t>
  </si>
  <si>
    <t>Centiskorch</t>
  </si>
  <si>
    <t>Rolycoly</t>
  </si>
  <si>
    <t>Carkol</t>
  </si>
  <si>
    <t>Coalossal</t>
  </si>
  <si>
    <t>Diglett</t>
  </si>
  <si>
    <t>Dugtrio</t>
  </si>
  <si>
    <t>Roggenrola</t>
  </si>
  <si>
    <t>Boldore</t>
  </si>
  <si>
    <t>Gigalith</t>
  </si>
  <si>
    <t>Timburr</t>
  </si>
  <si>
    <t>Gurdurr</t>
  </si>
  <si>
    <t>Conkeldurr</t>
  </si>
  <si>
    <t>Woobat</t>
  </si>
  <si>
    <t>Swoobat</t>
  </si>
  <si>
    <t>Arrokuda</t>
  </si>
  <si>
    <t>Barraskewda</t>
  </si>
  <si>
    <t>Galarian Meowth</t>
  </si>
  <si>
    <t>Meowth</t>
  </si>
  <si>
    <t>Perrserker</t>
  </si>
  <si>
    <t>Persian</t>
  </si>
  <si>
    <t>Milcery</t>
  </si>
  <si>
    <t>Alcremie</t>
  </si>
  <si>
    <t>Cutiefly</t>
  </si>
  <si>
    <t>Ribombee</t>
  </si>
  <si>
    <t>Ferroseed</t>
  </si>
  <si>
    <t>Ferrothorn</t>
  </si>
  <si>
    <t>Applin</t>
  </si>
  <si>
    <t>Flapple</t>
  </si>
  <si>
    <t>Appletun</t>
  </si>
  <si>
    <t>Dewpider</t>
  </si>
  <si>
    <t>Araquanid</t>
  </si>
  <si>
    <t>Wynaut</t>
  </si>
  <si>
    <t>Wobbuffet</t>
  </si>
  <si>
    <t>Chinchou</t>
  </si>
  <si>
    <t>Lanturn</t>
  </si>
  <si>
    <t>Croagunk</t>
  </si>
  <si>
    <t>Toxicroak</t>
  </si>
  <si>
    <t>Galarian Stunfisk</t>
  </si>
  <si>
    <t>Shuckle</t>
  </si>
  <si>
    <t>Barboach</t>
  </si>
  <si>
    <t>Whiscash</t>
  </si>
  <si>
    <t>Shellos</t>
  </si>
  <si>
    <t>Gastrodon</t>
  </si>
  <si>
    <t>Wimpod</t>
  </si>
  <si>
    <t>Golisopod</t>
  </si>
  <si>
    <t>Galarian Corsola</t>
  </si>
  <si>
    <t>Cursola</t>
  </si>
  <si>
    <t>Impidimp</t>
  </si>
  <si>
    <t>Morgrem</t>
  </si>
  <si>
    <t>Grimmsnarl</t>
  </si>
  <si>
    <t>Hatenna</t>
  </si>
  <si>
    <t>Hattrem</t>
  </si>
  <si>
    <t>Hatterene</t>
  </si>
  <si>
    <t>Salandit</t>
  </si>
  <si>
    <t>Salazzle</t>
  </si>
  <si>
    <t>Pawniard</t>
  </si>
  <si>
    <t>Bisharp</t>
  </si>
  <si>
    <t>Throh</t>
  </si>
  <si>
    <t>Sawk</t>
  </si>
  <si>
    <t>Koffing</t>
  </si>
  <si>
    <t>Galarian Weezing</t>
  </si>
  <si>
    <t>Bonsly</t>
  </si>
  <si>
    <t>Sudowoodo</t>
  </si>
  <si>
    <t>Togepi</t>
  </si>
  <si>
    <t>Togetic</t>
  </si>
  <si>
    <t>Togekiss</t>
  </si>
  <si>
    <t>Munchlax</t>
  </si>
  <si>
    <t>Snorlax</t>
  </si>
  <si>
    <t>Cottonee</t>
  </si>
  <si>
    <t>Whimsicott</t>
  </si>
  <si>
    <t>Rhyhorn</t>
  </si>
  <si>
    <t>Rhydon</t>
  </si>
  <si>
    <t>Rhyperior</t>
  </si>
  <si>
    <t>Gothita</t>
  </si>
  <si>
    <t>Gothorita</t>
  </si>
  <si>
    <t>Gothitelle</t>
  </si>
  <si>
    <t>Solosis</t>
  </si>
  <si>
    <t>Duosion</t>
  </si>
  <si>
    <t>Reuniclus</t>
  </si>
  <si>
    <t>Karrablast</t>
  </si>
  <si>
    <t>Escavalier</t>
  </si>
  <si>
    <t>Shelmet</t>
  </si>
  <si>
    <t>Accelgor</t>
  </si>
  <si>
    <t>Elgyem</t>
  </si>
  <si>
    <t>Beheeyem</t>
  </si>
  <si>
    <t>Cubchoo</t>
  </si>
  <si>
    <t>Beartic</t>
  </si>
  <si>
    <t>Rufflet</t>
  </si>
  <si>
    <t>Braviary</t>
  </si>
  <si>
    <t>Vullaby</t>
  </si>
  <si>
    <t>Mandibuzz</t>
  </si>
  <si>
    <t>Skorupi</t>
  </si>
  <si>
    <t>Drapion</t>
  </si>
  <si>
    <t>Sneasel</t>
  </si>
  <si>
    <t>Weavile</t>
  </si>
  <si>
    <t>Maractus</t>
  </si>
  <si>
    <t>Sigilyph</t>
  </si>
  <si>
    <t>Torkoal</t>
  </si>
  <si>
    <t>Mimikyu</t>
  </si>
  <si>
    <t>Cufant</t>
  </si>
  <si>
    <t>Copperajah</t>
  </si>
  <si>
    <t>Qwilfish</t>
  </si>
  <si>
    <t>Frillish</t>
  </si>
  <si>
    <t>Jellicent</t>
  </si>
  <si>
    <t>Mareanie</t>
  </si>
  <si>
    <t>Toxapex</t>
  </si>
  <si>
    <t>Cramorant</t>
  </si>
  <si>
    <t>Toxel</t>
  </si>
  <si>
    <t>Toxtricity</t>
  </si>
  <si>
    <t>Silicobra</t>
  </si>
  <si>
    <t>Sandaconda</t>
  </si>
  <si>
    <t>Durant</t>
  </si>
  <si>
    <t>Heatmor</t>
  </si>
  <si>
    <t>Trapinch</t>
  </si>
  <si>
    <t>Vibrava</t>
  </si>
  <si>
    <t>Flygon</t>
  </si>
  <si>
    <t>Axew</t>
  </si>
  <si>
    <t>Fraxure</t>
  </si>
  <si>
    <t>Haxorus</t>
  </si>
  <si>
    <t>Galarian Yamask</t>
  </si>
  <si>
    <t>Runerigus</t>
  </si>
  <si>
    <t>Cofagrigus</t>
  </si>
  <si>
    <t>Galarian Ponyta</t>
  </si>
  <si>
    <t>Galarian Rapidash</t>
  </si>
  <si>
    <t>Sinistea</t>
  </si>
  <si>
    <t>Polteageist</t>
  </si>
  <si>
    <t>Indeedee</t>
  </si>
  <si>
    <t>Morelull</t>
  </si>
  <si>
    <t>Shiinotic</t>
  </si>
  <si>
    <t>Oranguru</t>
  </si>
  <si>
    <t>Passimian</t>
  </si>
  <si>
    <t>Turtonator</t>
  </si>
  <si>
    <t>Togedemaru</t>
  </si>
  <si>
    <t>Snom</t>
  </si>
  <si>
    <t>Frosmoth</t>
  </si>
  <si>
    <t>Clobbopus</t>
  </si>
  <si>
    <t>Grapploct</t>
  </si>
  <si>
    <t>Mantyke</t>
  </si>
  <si>
    <t>Mantine</t>
  </si>
  <si>
    <t>Wailmer</t>
  </si>
  <si>
    <t>Wailord</t>
  </si>
  <si>
    <t>Dhelmise</t>
  </si>
  <si>
    <t>Lapras</t>
  </si>
  <si>
    <t>Lunatone</t>
  </si>
  <si>
    <t>Solrock</t>
  </si>
  <si>
    <t>Mime Jr.</t>
  </si>
  <si>
    <t>Galarian Mr. Mime</t>
  </si>
  <si>
    <t>Mr. Rime</t>
  </si>
  <si>
    <t>Galarian Darumaka</t>
  </si>
  <si>
    <t>Eiscue</t>
  </si>
  <si>
    <t>Duraludon</t>
  </si>
  <si>
    <t>Rotom</t>
  </si>
  <si>
    <t>Ditto</t>
  </si>
  <si>
    <t>Dracozolt</t>
  </si>
  <si>
    <t>Arctozolt</t>
  </si>
  <si>
    <t>Dracovish</t>
  </si>
  <si>
    <t>Arctovish</t>
  </si>
  <si>
    <t>Type: Null</t>
  </si>
  <si>
    <t>Silvally</t>
  </si>
  <si>
    <t>Deino</t>
  </si>
  <si>
    <t>Zweilous</t>
  </si>
  <si>
    <t>Hydreigon</t>
  </si>
  <si>
    <t>Jangmo-o</t>
  </si>
  <si>
    <t>Hakamo-o</t>
  </si>
  <si>
    <t>Kommo-o</t>
  </si>
  <si>
    <t>Dreepy</t>
  </si>
  <si>
    <t>Drakloak</t>
  </si>
  <si>
    <t>Dragapult</t>
  </si>
  <si>
    <t>Zacian</t>
  </si>
  <si>
    <t>Zamazenta</t>
  </si>
  <si>
    <t>Eternatus</t>
  </si>
  <si>
    <t>Weezing</t>
  </si>
  <si>
    <t>Rapidash</t>
  </si>
  <si>
    <t>Ponyta</t>
  </si>
  <si>
    <t>Mr. Mime</t>
  </si>
  <si>
    <t>Darumaka</t>
  </si>
  <si>
    <t>Darmanitan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</si>
  <si>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</si>
  <si>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</si>
  <si>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</si>
  <si>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</si>
  <si>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</si>
  <si>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</si>
  <si>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</si>
  <si>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</si>
  <si>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</si>
  <si>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</si>
  <si>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</si>
  <si>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</si>
  <si>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</si>
  <si>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</si>
  <si>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</si>
  <si>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</si>
  <si>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</si>
  <si>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</si>
  <si>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</si>
  <si>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</si>
  <si>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</si>
  <si>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</si>
  <si>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</si>
  <si>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</si>
  <si>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</si>
  <si>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</si>
  <si>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</si>
  <si>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</si>
  <si>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</si>
  <si>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</si>
  <si>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</si>
  <si>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</si>
  <si>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</si>
  <si>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</si>
  <si>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</si>
  <si>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</si>
  <si>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</si>
  <si>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</si>
  <si>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</si>
  <si>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</si>
  <si>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</si>
  <si>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</si>
  <si>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</si>
  <si>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</si>
  <si>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</si>
  <si>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</si>
  <si>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</si>
  <si>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</si>
  <si>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</si>
  <si>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</si>
  <si>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</si>
  <si>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</si>
  <si>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</si>
  <si>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</si>
  <si>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</si>
  <si>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</si>
  <si>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</si>
  <si>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</si>
  <si>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</si>
  <si>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</si>
  <si>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</si>
  <si>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</si>
  <si>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</si>
  <si>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</si>
  <si>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</si>
  <si>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</si>
  <si>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</si>
  <si>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</si>
  <si>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</si>
  <si>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</si>
  <si>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</si>
  <si>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</si>
  <si>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</si>
  <si>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</si>
  <si>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</si>
  <si>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</si>
  <si>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</si>
  <si>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</si>
  <si>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</si>
  <si>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</si>
  <si>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</si>
  <si>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</si>
  <si>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</si>
  <si>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</si>
  <si>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</si>
  <si>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</si>
  <si>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</si>
  <si>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</si>
  <si>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</si>
  <si>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</si>
  <si>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</si>
  <si>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</si>
  <si>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</si>
  <si>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</si>
  <si>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</si>
  <si>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</si>
  <si>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</si>
  <si>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</si>
  <si>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</si>
  <si>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</si>
  <si>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</si>
  <si>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</si>
  <si>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</si>
  <si>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</si>
  <si>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</si>
  <si>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</si>
  <si>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</si>
  <si>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</si>
  <si>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</si>
  <si>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</si>
  <si>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</si>
  <si>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</si>
  <si>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</si>
  <si>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</si>
  <si>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</si>
  <si>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</si>
  <si>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</si>
  <si>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</si>
  <si>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</si>
  <si>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</si>
  <si>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</si>
  <si>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</si>
  <si>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</si>
  <si>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</si>
  <si>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</si>
  <si>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</si>
  <si>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</si>
  <si>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</si>
  <si>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</si>
  <si>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</si>
  <si>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</si>
  <si>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</si>
  <si>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</si>
  <si>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</si>
  <si>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</si>
  <si>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</si>
  <si>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</si>
  <si>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</si>
  <si>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</si>
  <si>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</si>
  <si>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</si>
  <si>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</si>
  <si>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</si>
  <si>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</si>
  <si>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</si>
  <si>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</si>
  <si>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</si>
  <si>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</si>
  <si>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</si>
  <si>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</si>
  <si>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</si>
  <si>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</si>
  <si>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</si>
  <si>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</si>
  <si>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</si>
  <si>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</si>
  <si>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</si>
  <si>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</si>
  <si>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</si>
  <si>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</si>
  <si>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</si>
  <si>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</si>
  <si>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</si>
  <si>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</si>
  <si>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</si>
  <si>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</si>
  <si>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</si>
  <si>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</si>
  <si>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</si>
  <si>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</si>
  <si>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</si>
  <si>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</si>
  <si>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</si>
  <si>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</si>
  <si>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</si>
  <si>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</si>
  <si>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</si>
  <si>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</si>
  <si>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</si>
  <si>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</si>
  <si>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</si>
  <si>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</si>
  <si>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</si>
  <si>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</si>
  <si>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</si>
  <si>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</si>
  <si>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</si>
  <si>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</si>
  <si>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</si>
  <si>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</si>
  <si>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</si>
  <si>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</si>
  <si>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</si>
  <si>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</si>
  <si>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</si>
  <si>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</si>
  <si>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</si>
  <si>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</si>
  <si>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</si>
  <si>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</si>
  <si>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</si>
  <si>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</si>
  <si>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</si>
  <si>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</si>
  <si>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</si>
  <si>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</si>
  <si>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</si>
  <si>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</si>
  <si>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</si>
  <si>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</si>
  <si>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</si>
  <si>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</si>
  <si>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</si>
  <si>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</si>
  <si>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</si>
  <si>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</si>
  <si>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</si>
  <si>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</si>
  <si>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</si>
  <si>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</si>
  <si>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</si>
  <si>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</si>
  <si>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</si>
  <si>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</si>
  <si>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</si>
  <si>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</si>
  <si>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</si>
  <si>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</si>
  <si>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</si>
  <si>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</si>
  <si>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</si>
  <si>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</si>
  <si>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</si>
  <si>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</si>
  <si>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</si>
  <si>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</si>
  <si>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</si>
  <si>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</si>
  <si>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</si>
  <si>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</si>
  <si>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</si>
  <si>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</si>
  <si>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</si>
  <si>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</si>
  <si>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</si>
  <si>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</si>
  <si>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</si>
  <si>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</si>
  <si>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</si>
  <si>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</si>
  <si>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</si>
  <si>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</si>
  <si>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</si>
  <si>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</si>
  <si>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</si>
  <si>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</si>
  <si>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</si>
  <si>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</si>
  <si>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</si>
  <si>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</si>
  <si>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</si>
  <si>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</si>
  <si>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</si>
  <si>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</si>
  <si>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</si>
  <si>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</si>
  <si>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</si>
  <si>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</si>
  <si>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</si>
  <si>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</si>
  <si>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</si>
  <si>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</si>
  <si>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</si>
  <si>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</si>
  <si>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</si>
  <si>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</si>
  <si>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</si>
  <si>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</si>
  <si>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</si>
  <si>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</si>
  <si>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</si>
  <si>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</si>
  <si>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</si>
  <si>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</si>
  <si>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</si>
  <si>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</si>
  <si>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</si>
  <si>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</si>
  <si>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</si>
  <si>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</si>
  <si>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</si>
  <si>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</si>
  <si>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</si>
  <si>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</si>
  <si>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</si>
  <si>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</si>
  <si>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</si>
  <si>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</si>
  <si>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</si>
  <si>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</si>
  <si>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</si>
  <si>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</si>
  <si>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</si>
  <si>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</si>
  <si>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</si>
  <si>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</si>
  <si>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</si>
  <si>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</si>
  <si>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</si>
  <si>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</si>
  <si>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</si>
  <si>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</si>
  <si>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</si>
  <si>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</si>
  <si>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</si>
  <si>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</si>
  <si>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</si>
  <si>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</si>
  <si>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</si>
  <si>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</si>
  <si>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</si>
  <si>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</si>
  <si>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</si>
  <si>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</si>
  <si>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</si>
  <si>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</si>
  <si>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</si>
  <si>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</si>
  <si>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</si>
  <si>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</si>
  <si>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</si>
  <si>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</si>
  <si>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</si>
  <si>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</si>
  <si>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</si>
  <si>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</si>
  <si>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</si>
  <si>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</si>
  <si>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</si>
  <si>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</si>
  <si>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</si>
  <si>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</si>
  <si>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</si>
  <si>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</si>
  <si>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</si>
  <si>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</si>
  <si>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</si>
  <si>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</si>
  <si>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</si>
  <si>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</si>
  <si>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</si>
  <si>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</si>
  <si>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</si>
  <si>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</si>
  <si>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</si>
  <si>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</si>
  <si>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</si>
  <si>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</si>
  <si>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</si>
  <si>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</si>
  <si>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</si>
  <si>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</si>
  <si>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</si>
  <si>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</si>
  <si>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</si>
  <si>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</si>
  <si>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</si>
  <si>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</si>
  <si>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</si>
  <si>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</si>
  <si>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</si>
  <si>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</si>
  <si>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</si>
  <si>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</si>
  <si>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</si>
  <si>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</si>
  <si>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</si>
  <si>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</si>
  <si>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</si>
  <si>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</si>
  <si>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</si>
  <si>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</si>
  <si>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</si>
  <si>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</si>
  <si>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</si>
  <si>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</si>
  <si>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</si>
  <si>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</si>
  <si>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</si>
  <si>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</si>
  <si>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</si>
  <si>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</si>
  <si>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001</t>
  </si>
  <si>
    <t>002</t>
  </si>
  <si>
    <t>003</t>
  </si>
  <si>
    <t>004</t>
  </si>
  <si>
    <t>005</t>
  </si>
  <si>
    <t>006</t>
  </si>
  <si>
    <t>007</t>
  </si>
  <si>
    <t>008</t>
  </si>
  <si>
    <t>LGPE</t>
  </si>
  <si>
    <t>SV</t>
  </si>
  <si>
    <t>SWSH</t>
  </si>
  <si>
    <t>ZA</t>
  </si>
  <si>
    <t>Stonjourner</t>
  </si>
  <si>
    <t>Starter</t>
  </si>
  <si>
    <t>SWSH Evolve</t>
  </si>
  <si>
    <t>SWSH Location</t>
  </si>
  <si>
    <t>Grookey (Lvl 16)</t>
  </si>
  <si>
    <t>Thwackey (Lvl 35)</t>
  </si>
  <si>
    <t>Scorbunny (Lvl 16)</t>
  </si>
  <si>
    <t>Raboot (Lvl 35)</t>
  </si>
  <si>
    <t>Sobble (Lvl 16)</t>
  </si>
  <si>
    <t>Drizzile (Lvl 35)</t>
  </si>
  <si>
    <t>Blipbug (Lvl 10)</t>
  </si>
  <si>
    <t>Dottler (Lvl 30)</t>
  </si>
  <si>
    <t>Caterpie (Lvl 7)</t>
  </si>
  <si>
    <t>Metapod (Lvl 10)</t>
  </si>
  <si>
    <t>Grubbin (Lvl 20)</t>
  </si>
  <si>
    <t>Charjabug (Thunder Stone)</t>
  </si>
  <si>
    <t>Hoothoot (Lvl 20)</t>
  </si>
  <si>
    <t>Rookidee (Lvl 18)</t>
  </si>
  <si>
    <t>Corvisquire (Lvl 38)</t>
  </si>
  <si>
    <t>Skwovet (Lvl 24)</t>
  </si>
  <si>
    <t>Pidove (Lvl 21)</t>
  </si>
  <si>
    <t>Tranquill (Lvl 32)</t>
  </si>
  <si>
    <t>Nickit (Lvl 18)</t>
  </si>
  <si>
    <t>Galarian Zigzagoon (Lvl 20)</t>
  </si>
  <si>
    <t>Galarian Linoone (Lvl 35 at Night)</t>
  </si>
  <si>
    <t>Wooloo (Lvl 24)</t>
  </si>
  <si>
    <t>Lotad (Lvl 14)</t>
  </si>
  <si>
    <t>Lombre (Water Stone)</t>
  </si>
  <si>
    <t>Seedot (Lvl 14)</t>
  </si>
  <si>
    <t>Nuzleaf (Leaf Stone)</t>
  </si>
  <si>
    <t>Chewtle (Lvl 22)</t>
  </si>
  <si>
    <t>Purrloin (Lvl 20)</t>
  </si>
  <si>
    <t>Yamper (Lvl 25)</t>
  </si>
  <si>
    <t>Bunnelby (Lvl 20)</t>
  </si>
  <si>
    <t>Minccino (Shiny Stone)</t>
  </si>
  <si>
    <t>Bounsweet (Lvl 18)</t>
  </si>
  <si>
    <t>Oddish (Lvl 21)</t>
  </si>
  <si>
    <t>Gloom (Leaf Stone)</t>
  </si>
  <si>
    <t>Roselia (Shiny Stone)</t>
  </si>
  <si>
    <t>Wingull (Lvl 25)</t>
  </si>
  <si>
    <t>Joltik (Lvl 36)</t>
  </si>
  <si>
    <t>Electrike (Lvl 26)</t>
  </si>
  <si>
    <t>Vulpix (Fire Stone)</t>
  </si>
  <si>
    <t>Growlithe (Fire Stone)</t>
  </si>
  <si>
    <t>Vanillite (Lvl 35)</t>
  </si>
  <si>
    <t>Vanillish (Lvl 47)</t>
  </si>
  <si>
    <t>Swinub (Lvl 33)</t>
  </si>
  <si>
    <t>Snorunt (Lvl 42)</t>
  </si>
  <si>
    <t>Baltoy (Lvl 36)</t>
  </si>
  <si>
    <t>Mudbray (Lvl 30)</t>
  </si>
  <si>
    <t>Dwebble (Lvl 34)</t>
  </si>
  <si>
    <t>Golett (Lvl 43)</t>
  </si>
  <si>
    <t>Munna (Moon Stone)</t>
  </si>
  <si>
    <t>Natu (Lvl 25)</t>
  </si>
  <si>
    <t>Stufful (Lvl 27)</t>
  </si>
  <si>
    <t>Snover (Lvl 40)</t>
  </si>
  <si>
    <t>Krabby (Lvl 28)</t>
  </si>
  <si>
    <t>Wooper (Lvl 20)</t>
  </si>
  <si>
    <t>Corphish (Lvl 30)</t>
  </si>
  <si>
    <t>Nincada (Lvl 20)</t>
  </si>
  <si>
    <t>Klink (Lvl 38)</t>
  </si>
  <si>
    <t>Klang (Lvl 49)</t>
  </si>
  <si>
    <t>Bronzor (Lvl 33)</t>
  </si>
  <si>
    <t>Ralts (Lvl 20)</t>
  </si>
  <si>
    <t>Kirlia (Lvl 30)</t>
  </si>
  <si>
    <t>Drifloon (Lvl 28)</t>
  </si>
  <si>
    <t>Gossifleur (Lvl 20)</t>
  </si>
  <si>
    <t>Cherubi (Lvl 25)</t>
  </si>
  <si>
    <t>Stunky (Lvl 34)</t>
  </si>
  <si>
    <t>Tympole (Lvl 25)</t>
  </si>
  <si>
    <t>Palpitoad (Lvl 36)</t>
  </si>
  <si>
    <t>Duskull (Lvl 37)</t>
  </si>
  <si>
    <t>Dusclops (Trade holding Reaper Cloth)</t>
  </si>
  <si>
    <t>Machop (Lvl 28)</t>
  </si>
  <si>
    <t>Machoke (Trade)</t>
  </si>
  <si>
    <t>Gastly (Lvl 25)</t>
  </si>
  <si>
    <t>Haunter (Trade)</t>
  </si>
  <si>
    <t>Magikarp (Lvl 20)</t>
  </si>
  <si>
    <t>Goldeen (Lvl 33)</t>
  </si>
  <si>
    <t>Remoraid (Lvl 25)</t>
  </si>
  <si>
    <t>Shellder (Water Stone)</t>
  </si>
  <si>
    <t>Feebas (Trade holding Prism Scale)</t>
  </si>
  <si>
    <t>Trubbish (Lvl 36)</t>
  </si>
  <si>
    <t>Sizzlipede (Lvl 28)</t>
  </si>
  <si>
    <t>Rolycoly (Lvl 18)</t>
  </si>
  <si>
    <t>Carkol (Lvl 34)</t>
  </si>
  <si>
    <t>Diglett (Lvl 26)</t>
  </si>
  <si>
    <t>Drilbur (Lvl 31)</t>
  </si>
  <si>
    <t>Roggenrola (Lvl 25)</t>
  </si>
  <si>
    <t>Boldore (Trade)</t>
  </si>
  <si>
    <t>Timburr (Lvl 25)</t>
  </si>
  <si>
    <t>Gurdurr (Trade)</t>
  </si>
  <si>
    <t>Noibat (Lvl 48)</t>
  </si>
  <si>
    <t>Arrokuda (Lvl 26)</t>
  </si>
  <si>
    <t>Galarian Meowth (Lvl 28)</t>
  </si>
  <si>
    <t>Meowth (Lvl 28)</t>
  </si>
  <si>
    <t>Cutiefly (Lvl 25)</t>
  </si>
  <si>
    <t>Ferroseed (Lvl 40)</t>
  </si>
  <si>
    <t>Pumpkaboo (Trade)</t>
  </si>
  <si>
    <t>Pikachu (Thunder Stone)</t>
  </si>
  <si>
    <t>Eevee (Water Stone)</t>
  </si>
  <si>
    <t>Applin (Tart Apple)</t>
  </si>
  <si>
    <t>Espurr (Lvl 25)</t>
  </si>
  <si>
    <t>Swirlix (Trade holding Whipped Dream)</t>
  </si>
  <si>
    <t>Spritzee (Trade holding Sachet)</t>
  </si>
  <si>
    <t>Dewpider (Lvl 22)</t>
  </si>
  <si>
    <t>Wynaut (Lvl 15)</t>
  </si>
  <si>
    <t>Galarian Farfetch'd (Get 3 Crit Hits in One Battle)</t>
  </si>
  <si>
    <t>Chinchou (Lvl 27)</t>
  </si>
  <si>
    <t>Croagunk (Lvl 37)</t>
  </si>
  <si>
    <t>Scraggy (Lvl 39)</t>
  </si>
  <si>
    <t>Barboach (Lvl 30)</t>
  </si>
  <si>
    <t>Shellos (Lvl 30)</t>
  </si>
  <si>
    <t>Wimpod (Lvl 30)</t>
  </si>
  <si>
    <t>Binacle (Lvl 39)</t>
  </si>
  <si>
    <t>Galarian Corsola (Lvl 38)</t>
  </si>
  <si>
    <t>Impidimp (Lvl 32)</t>
  </si>
  <si>
    <t>Morgrem (Lvl 42)</t>
  </si>
  <si>
    <t>Hatenna (Lvl 32)</t>
  </si>
  <si>
    <t>Hattrem (Lvl 42)</t>
  </si>
  <si>
    <t>Pawniard (Lvl 52)</t>
  </si>
  <si>
    <t>Clefairy (Moon Stone)</t>
  </si>
  <si>
    <t>Togepi (Friendship)</t>
  </si>
  <si>
    <t>Togetic (Shiny Stone)</t>
  </si>
  <si>
    <t>Cottonee (Sun Stone)</t>
  </si>
  <si>
    <t>Rhyhorn (Lvl 42)</t>
  </si>
  <si>
    <t>Rhydon (Trade holding Protector)</t>
  </si>
  <si>
    <t>Gothita (Lvl 32)</t>
  </si>
  <si>
    <t>Gothorita (Lvl 41)</t>
  </si>
  <si>
    <t>Solosis (Lvl 32)</t>
  </si>
  <si>
    <t>Duosion (Lvl 41)</t>
  </si>
  <si>
    <t>Elgyem (Lvl 42)</t>
  </si>
  <si>
    <t>Cubchoo (Lvl 37)</t>
  </si>
  <si>
    <t>Rufflet (Lvl 54)</t>
  </si>
  <si>
    <t>Vullaby (Lvl 54)</t>
  </si>
  <si>
    <t>Skorupi (Lvl 40)</t>
  </si>
  <si>
    <t>Litwick (Lvl 41)</t>
  </si>
  <si>
    <t>Lampent (Dusk Stone)</t>
  </si>
  <si>
    <t>Sneasel (Level Up w/ Razor Claw at Night)</t>
  </si>
  <si>
    <t>Cufant (Lvl 34)</t>
  </si>
  <si>
    <t>Frillish (Lvl 40)</t>
  </si>
  <si>
    <t>Mareanie (Lvl 38)</t>
  </si>
  <si>
    <t>Toxel (Lvl 30)</t>
  </si>
  <si>
    <t>Silicobra (Lvl 36)</t>
  </si>
  <si>
    <t>Hippopotas (Lvl 34)</t>
  </si>
  <si>
    <t>Helioptile (Sun Stone)</t>
  </si>
  <si>
    <t>Trapinch (Lvl 35)</t>
  </si>
  <si>
    <t>Vibrava (Lvl 45)</t>
  </si>
  <si>
    <t>Axew (Lvl 38)</t>
  </si>
  <si>
    <t>Fraxure (Lvl 48)</t>
  </si>
  <si>
    <t>Yamask (Lvl 34)</t>
  </si>
  <si>
    <t>Honedge (Lvl 35)</t>
  </si>
  <si>
    <t>Doublade (Dusk Stone)</t>
  </si>
  <si>
    <t>Galarian Ponyta (Lvl 40)</t>
  </si>
  <si>
    <t>Phantump (Trade)</t>
  </si>
  <si>
    <t>Morelull (Lvl 24)</t>
  </si>
  <si>
    <t>Wailmer (Lvl 40)</t>
  </si>
  <si>
    <t>Bergmite (Lvl 37)</t>
  </si>
  <si>
    <t>Galarian Mr. Mime (Lvl 42)</t>
  </si>
  <si>
    <t>Galarian Darumaka (Ice Stone)</t>
  </si>
  <si>
    <t>Charmander (Lvl 16)</t>
  </si>
  <si>
    <t>Larvitar (Lvl 30)</t>
  </si>
  <si>
    <t>Pupitar (Lvl 55)</t>
  </si>
  <si>
    <t>Deino (Lvl 50)</t>
  </si>
  <si>
    <t>Zweilous (Lvl 64)</t>
  </si>
  <si>
    <t>Goomy (Lvl 40)</t>
  </si>
  <si>
    <t>Jangmo-o (Lvl 35)</t>
  </si>
  <si>
    <t>Hakamo-o (Lvl 45)</t>
  </si>
  <si>
    <t>Dreepy (Lvl 50)</t>
  </si>
  <si>
    <t>Drakloak (Lvl 60)</t>
  </si>
  <si>
    <t>Gloom (Sun Stone)</t>
  </si>
  <si>
    <t>Budew (Max Friendship)</t>
  </si>
  <si>
    <t>Nincada (Lvl 20 w/ Open Party Slot)</t>
  </si>
  <si>
    <t>Tyrogue (Lvl 20 w/ Attack &gt; Defense)</t>
  </si>
  <si>
    <t>Pancham (Lvl 32 w/ Dark Type in Party)</t>
  </si>
  <si>
    <t>Combee (Lvl 21 Female)</t>
  </si>
  <si>
    <t>Giant's Seat 🎣</t>
  </si>
  <si>
    <t>South Lake Miloch 🎣</t>
  </si>
  <si>
    <t>Route 6 🌳</t>
  </si>
  <si>
    <t>North Lake Miloch 🌳</t>
  </si>
  <si>
    <t>Route 9 🎣</t>
  </si>
  <si>
    <t>Woobat (Max Friendship)</t>
  </si>
  <si>
    <t>Onix (Trade holding Metal Coat)</t>
  </si>
  <si>
    <t>Dusty Bowl 🎣</t>
  </si>
  <si>
    <t>Milcery (Spin around holding sweet item)</t>
  </si>
  <si>
    <t>Eevee (Thunder Stone)</t>
  </si>
  <si>
    <t>Eevee (Fire Stone)</t>
  </si>
  <si>
    <t>Eevee (High friendship during day)</t>
  </si>
  <si>
    <t>Eevee (Leaf Stone)</t>
  </si>
  <si>
    <t>Eevee (Ice Stone)</t>
  </si>
  <si>
    <t>Lake of Outrage 🎣</t>
  </si>
  <si>
    <t>Slumbering Weald 🎣</t>
  </si>
  <si>
    <t>Salandit (Lvl 33 Female)</t>
  </si>
  <si>
    <t>Koffing (Lvl 35)</t>
  </si>
  <si>
    <t>Cleffa (High Friendship)</t>
  </si>
  <si>
    <t>Munchlax (High Friendship)</t>
  </si>
  <si>
    <t>Trade Only</t>
  </si>
  <si>
    <t>Karrablast (Trade for a Shelmet)</t>
  </si>
  <si>
    <t>Shelmet (Trade for a Karrablast)</t>
  </si>
  <si>
    <t>Inkay (Lvl 30 Holding Console Upside Down)</t>
  </si>
  <si>
    <t>Riolu (High Friendship at Day)</t>
  </si>
  <si>
    <t>Yamask</t>
  </si>
  <si>
    <t>Galarian Yamask (Look Up Instructions)</t>
  </si>
  <si>
    <t>Sinistea (Cracked Pot)</t>
  </si>
  <si>
    <t>Morpeko</t>
  </si>
  <si>
    <t>Snom (High Friendship at Night)</t>
  </si>
  <si>
    <t>Trade for Obstagoon in Spikemuth</t>
  </si>
  <si>
    <t>Trade for Galarian Yamask in Fairy Gym</t>
  </si>
  <si>
    <t>Trade for Galarian Meowth in Grass Gym</t>
  </si>
  <si>
    <t>2 Fossilized Bird + 2 Fossilized Drake</t>
  </si>
  <si>
    <t>2 Fossilized Bird + 2 Fossilized Dino</t>
  </si>
  <si>
    <t>2 Fossilized Fish + 2 Fossilized Drake</t>
  </si>
  <si>
    <t>2 Fossilized Fish + 2 Fossilized Dino</t>
  </si>
  <si>
    <t>Hop's House</t>
  </si>
  <si>
    <t>Battle Tower</t>
  </si>
  <si>
    <t>Type: Null (High Friendship)</t>
  </si>
  <si>
    <t>Sliggoo (Lvl 50 while raining)</t>
  </si>
  <si>
    <t>Energy Plant</t>
  </si>
  <si>
    <t>Farfetch'd</t>
  </si>
  <si>
    <t>Sirfetch'd</t>
  </si>
  <si>
    <t>Corsola</t>
  </si>
  <si>
    <t>Pincurchin</t>
  </si>
  <si>
    <t>ZA Location</t>
  </si>
  <si>
    <t>ZA Evolve</t>
  </si>
  <si>
    <t>Type 1</t>
  </si>
  <si>
    <t>Type 2</t>
  </si>
  <si>
    <t>Grass</t>
  </si>
  <si>
    <t>Poison</t>
  </si>
  <si>
    <t>Fire</t>
  </si>
  <si>
    <t>Flying</t>
  </si>
  <si>
    <t>Water</t>
  </si>
  <si>
    <t>Bug</t>
  </si>
  <si>
    <t>Normal</t>
  </si>
  <si>
    <t>Rattata</t>
  </si>
  <si>
    <t>Raticate</t>
  </si>
  <si>
    <t>Spearow</t>
  </si>
  <si>
    <t>Fearow</t>
  </si>
  <si>
    <t>Electric</t>
  </si>
  <si>
    <t>Sandshrew</t>
  </si>
  <si>
    <t>Ground</t>
  </si>
  <si>
    <t>Sandslash</t>
  </si>
  <si>
    <t>Nidoran♀</t>
  </si>
  <si>
    <t>Nidorina</t>
  </si>
  <si>
    <t>Nidoqueen</t>
  </si>
  <si>
    <t>Nidoran♂</t>
  </si>
  <si>
    <t>Nidorino</t>
  </si>
  <si>
    <t>Nidoking</t>
  </si>
  <si>
    <t>Fairy</t>
  </si>
  <si>
    <t>Jigglypuff</t>
  </si>
  <si>
    <t>Wigglytuff</t>
  </si>
  <si>
    <t>Zubat</t>
  </si>
  <si>
    <t>Golbat</t>
  </si>
  <si>
    <t>Paras</t>
  </si>
  <si>
    <t>Parasect</t>
  </si>
  <si>
    <t>Venonat</t>
  </si>
  <si>
    <t>Venomoth</t>
  </si>
  <si>
    <t>Psyduck</t>
  </si>
  <si>
    <t>Golduck</t>
  </si>
  <si>
    <t>Mankey</t>
  </si>
  <si>
    <t>Fighting</t>
  </si>
  <si>
    <t>Primeape</t>
  </si>
  <si>
    <t>Poliwag</t>
  </si>
  <si>
    <t>Poliwhirl</t>
  </si>
  <si>
    <t>Poliwrath</t>
  </si>
  <si>
    <t>Psychic</t>
  </si>
  <si>
    <t>Tentacool</t>
  </si>
  <si>
    <t>Tentacruel</t>
  </si>
  <si>
    <t>Geodude</t>
  </si>
  <si>
    <t>Rock</t>
  </si>
  <si>
    <t>Graveler</t>
  </si>
  <si>
    <t>Golem</t>
  </si>
  <si>
    <t>Magnemite</t>
  </si>
  <si>
    <t>Steel</t>
  </si>
  <si>
    <t>Magneton</t>
  </si>
  <si>
    <t>Doduo</t>
  </si>
  <si>
    <t>Dodrio</t>
  </si>
  <si>
    <t>Seel</t>
  </si>
  <si>
    <t>Dewgong</t>
  </si>
  <si>
    <t>Ice</t>
  </si>
  <si>
    <t>Grimer</t>
  </si>
  <si>
    <t>Muk</t>
  </si>
  <si>
    <t>Ghost</t>
  </si>
  <si>
    <t>Drowzee</t>
  </si>
  <si>
    <t>Hypno</t>
  </si>
  <si>
    <t>Voltorb</t>
  </si>
  <si>
    <t>Electrode</t>
  </si>
  <si>
    <t>Exeggcute</t>
  </si>
  <si>
    <t>Exeggutor</t>
  </si>
  <si>
    <t>Cubone</t>
  </si>
  <si>
    <t>Marowak</t>
  </si>
  <si>
    <t>Lickitung</t>
  </si>
  <si>
    <t>Chansey</t>
  </si>
  <si>
    <t>Tangela</t>
  </si>
  <si>
    <t>Horsea</t>
  </si>
  <si>
    <t>Seadra</t>
  </si>
  <si>
    <t>Jynx</t>
  </si>
  <si>
    <t>Electabuzz</t>
  </si>
  <si>
    <t>Magmar</t>
  </si>
  <si>
    <t>Tauros</t>
  </si>
  <si>
    <t>Porygon</t>
  </si>
  <si>
    <t>Omanyte</t>
  </si>
  <si>
    <t>Omastar</t>
  </si>
  <si>
    <t>Kabuto</t>
  </si>
  <si>
    <t>Kabutops</t>
  </si>
  <si>
    <t>Articuno</t>
  </si>
  <si>
    <t>Zapdos</t>
  </si>
  <si>
    <t>Moltres</t>
  </si>
  <si>
    <t>Dragon</t>
  </si>
  <si>
    <t>Mew</t>
  </si>
  <si>
    <t>Cyndaquil</t>
  </si>
  <si>
    <t>Quilava</t>
  </si>
  <si>
    <t>Typhlosion</t>
  </si>
  <si>
    <t>Sentret</t>
  </si>
  <si>
    <t>Furret</t>
  </si>
  <si>
    <t>Ledyba</t>
  </si>
  <si>
    <t>Ledian</t>
  </si>
  <si>
    <t>Crobat</t>
  </si>
  <si>
    <t>Igglybuff</t>
  </si>
  <si>
    <t>Marill</t>
  </si>
  <si>
    <t>Azumarill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</si>
  <si>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</si>
  <si>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</si>
  <si>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</si>
  <si>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</si>
  <si>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</si>
  <si>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</si>
  <si>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</si>
  <si>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</si>
  <si>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Dark</t>
  </si>
  <si>
    <t>Murkrow</t>
  </si>
  <si>
    <t>Misdreavus</t>
  </si>
  <si>
    <t>Unown</t>
  </si>
  <si>
    <t>Girafarig</t>
  </si>
  <si>
    <t>Pineco</t>
  </si>
  <si>
    <t>Forretress</t>
  </si>
  <si>
    <t>Dunsparce</t>
  </si>
  <si>
    <t>Gligar</t>
  </si>
  <si>
    <t>Snubbull</t>
  </si>
  <si>
    <t>Granbull</t>
  </si>
  <si>
    <t>Teddiursa</t>
  </si>
  <si>
    <t>Ursaring</t>
  </si>
  <si>
    <t>Slugma</t>
  </si>
  <si>
    <t>Magcargo</t>
  </si>
  <si>
    <t>Kingdra</t>
  </si>
  <si>
    <t>Phanpy</t>
  </si>
  <si>
    <t>Donphan</t>
  </si>
  <si>
    <t>Porygon2</t>
  </si>
  <si>
    <t>Stantler</t>
  </si>
  <si>
    <t>Smeargle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</si>
  <si>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</si>
  <si>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</si>
  <si>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</si>
  <si>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</si>
  <si>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</si>
  <si>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</si>
  <si>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</si>
  <si>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</si>
  <si>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</si>
  <si>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</si>
  <si>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</si>
  <si>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</si>
  <si>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</si>
  <si>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</si>
  <si>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</si>
  <si>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</si>
  <si>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</si>
  <si>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</si>
  <si>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</si>
  <si>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</si>
  <si>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</si>
  <si>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</si>
  <si>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Wurmple</t>
  </si>
  <si>
    <t>Silcoon</t>
  </si>
  <si>
    <t>Beautifly</t>
  </si>
  <si>
    <t>Cascoon</t>
  </si>
  <si>
    <t>Dustox</t>
  </si>
  <si>
    <t>Taillow</t>
  </si>
  <si>
    <t>Swellow</t>
  </si>
  <si>
    <t>Surskit</t>
  </si>
  <si>
    <t>Masquerain</t>
  </si>
  <si>
    <t>Shroomish</t>
  </si>
  <si>
    <t>Breloom</t>
  </si>
  <si>
    <t>Slakoth</t>
  </si>
  <si>
    <t>Vigoroth</t>
  </si>
  <si>
    <t>Slaking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</si>
  <si>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</si>
  <si>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</si>
  <si>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</si>
  <si>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</si>
  <si>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</si>
  <si>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</si>
  <si>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</si>
  <si>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</si>
  <si>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</si>
  <si>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Plusle</t>
  </si>
  <si>
    <t>Minun</t>
  </si>
  <si>
    <t>Volbeat</t>
  </si>
  <si>
    <t>Illumise</t>
  </si>
  <si>
    <t>Gulpin</t>
  </si>
  <si>
    <t>Swalot</t>
  </si>
  <si>
    <t>Spoink</t>
  </si>
  <si>
    <t>Grumpig</t>
  </si>
  <si>
    <t>Spinda</t>
  </si>
  <si>
    <t>Cacnea</t>
  </si>
  <si>
    <t>Cacturne</t>
  </si>
  <si>
    <t>Zangoose</t>
  </si>
  <si>
    <t>Seviper</t>
  </si>
  <si>
    <t>Lileep</t>
  </si>
  <si>
    <t>Cradily</t>
  </si>
  <si>
    <t>Anorith</t>
  </si>
  <si>
    <t>Armaldo</t>
  </si>
  <si>
    <t>Castform</t>
  </si>
  <si>
    <t>Kecleon</t>
  </si>
  <si>
    <t>Tropius</t>
  </si>
  <si>
    <t>Chimecho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</si>
  <si>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</si>
  <si>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</si>
  <si>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</si>
  <si>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</si>
  <si>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</si>
  <si>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</si>
  <si>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</si>
  <si>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</si>
  <si>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</si>
  <si>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</si>
  <si>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</si>
  <si>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</si>
  <si>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</si>
  <si>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</si>
  <si>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</si>
  <si>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</si>
  <si>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</si>
  <si>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</si>
  <si>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</si>
  <si>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</si>
  <si>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</si>
  <si>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</si>
  <si>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</si>
  <si>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</si>
  <si>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</si>
  <si>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</si>
  <si>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</si>
  <si>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</si>
  <si>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</si>
  <si>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</si>
  <si>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</si>
  <si>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</si>
  <si>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</si>
  <si>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</si>
  <si>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</si>
  <si>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</si>
  <si>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</si>
  <si>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Cranidos</t>
  </si>
  <si>
    <t>Rampardos</t>
  </si>
  <si>
    <t>Shieldon</t>
  </si>
  <si>
    <t>Bastiodon</t>
  </si>
  <si>
    <t>Burmy</t>
  </si>
  <si>
    <t>Wormadam</t>
  </si>
  <si>
    <t>Mothim</t>
  </si>
  <si>
    <t>Pachirisu</t>
  </si>
  <si>
    <t>Buizel</t>
  </si>
  <si>
    <t>Floatzel</t>
  </si>
  <si>
    <t>Ambipom</t>
  </si>
  <si>
    <t>Mismagius</t>
  </si>
  <si>
    <t>Honchkrow</t>
  </si>
  <si>
    <t>Glameow</t>
  </si>
  <si>
    <t>Purugly</t>
  </si>
  <si>
    <t>Chingling</t>
  </si>
  <si>
    <t>Happiny</t>
  </si>
  <si>
    <t>Chatot</t>
  </si>
  <si>
    <t>Spiritomb</t>
  </si>
  <si>
    <t>Carnivine</t>
  </si>
  <si>
    <t>Finneon</t>
  </si>
  <si>
    <t>Lumineon</t>
  </si>
  <si>
    <t>Magnezone</t>
  </si>
  <si>
    <t>Lickilicky</t>
  </si>
  <si>
    <t>Tangrowth</t>
  </si>
  <si>
    <t>Electivire</t>
  </si>
  <si>
    <t>Magmortar</t>
  </si>
  <si>
    <t>Yanmega</t>
  </si>
  <si>
    <t>Gliscor</t>
  </si>
  <si>
    <t>Porygon-Z</t>
  </si>
  <si>
    <t>Probopass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</si>
  <si>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</si>
  <si>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</si>
  <si>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</si>
  <si>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</si>
  <si>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</si>
  <si>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</si>
  <si>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</si>
  <si>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</si>
  <si>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</si>
  <si>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</si>
  <si>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</si>
  <si>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</si>
  <si>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</si>
  <si>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</si>
  <si>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</si>
  <si>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</si>
  <si>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</si>
  <si>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</si>
  <si>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Oshawott</t>
  </si>
  <si>
    <t>Dewott</t>
  </si>
  <si>
    <t>Samurott</t>
  </si>
  <si>
    <t>Lillipup</t>
  </si>
  <si>
    <t>Herdier</t>
  </si>
  <si>
    <t>Stoutland</t>
  </si>
  <si>
    <t>Blitzle</t>
  </si>
  <si>
    <t>Zebstrika</t>
  </si>
  <si>
    <t>Sewaddle</t>
  </si>
  <si>
    <t>Swadloon</t>
  </si>
  <si>
    <t>Leavanny</t>
  </si>
  <si>
    <t>Petilil</t>
  </si>
  <si>
    <t>Lilligant</t>
  </si>
  <si>
    <t>Tirtouga</t>
  </si>
  <si>
    <t>Carracosta</t>
  </si>
  <si>
    <t>Archen</t>
  </si>
  <si>
    <t>Archeops</t>
  </si>
  <si>
    <t>Zorua</t>
  </si>
  <si>
    <t>Zoroark</t>
  </si>
  <si>
    <t>Ducklett</t>
  </si>
  <si>
    <t>Swanna</t>
  </si>
  <si>
    <t>Deerling</t>
  </si>
  <si>
    <t>Sawsbuck</t>
  </si>
  <si>
    <t>Foongus</t>
  </si>
  <si>
    <t>Amoonguss</t>
  </si>
  <si>
    <t>Alomomola</t>
  </si>
  <si>
    <t>Cryogonal</t>
  </si>
  <si>
    <t>Mienfoo</t>
  </si>
  <si>
    <t>Mienshao</t>
  </si>
  <si>
    <t>Druddigon</t>
  </si>
  <si>
    <t>Bouffalant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</si>
  <si>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</si>
  <si>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</si>
  <si>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</si>
  <si>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</si>
  <si>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</si>
  <si>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</si>
  <si>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</si>
  <si>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</si>
  <si>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</si>
  <si>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</si>
  <si>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</si>
  <si>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</si>
  <si>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</si>
  <si>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</si>
  <si>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</si>
  <si>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</si>
  <si>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</si>
  <si>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</si>
  <si>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</si>
  <si>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</si>
  <si>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</si>
  <si>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</si>
  <si>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</si>
  <si>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</si>
  <si>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</si>
  <si>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</si>
  <si>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</si>
  <si>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</si>
  <si>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</si>
  <si>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</si>
  <si>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Crabrawler</t>
  </si>
  <si>
    <t>Crabominable</t>
  </si>
  <si>
    <t>Oricorio</t>
  </si>
  <si>
    <t>Rockruff</t>
  </si>
  <si>
    <t>Lycanroc</t>
  </si>
  <si>
    <t>Fomantis</t>
  </si>
  <si>
    <t>Lurantis</t>
  </si>
  <si>
    <t>Comfey</t>
  </si>
  <si>
    <t>Sandygast</t>
  </si>
  <si>
    <t>Palossand</t>
  </si>
  <si>
    <t>Minior</t>
  </si>
  <si>
    <t>Komala</t>
  </si>
  <si>
    <t>Bruxish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</si>
  <si>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</si>
  <si>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</si>
  <si>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</si>
  <si>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</si>
  <si>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</si>
  <si>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</si>
  <si>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</si>
  <si>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</si>
  <si>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</si>
  <si>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</si>
  <si>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</si>
  <si>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</si>
  <si>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</si>
  <si>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</si>
  <si>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</si>
  <si>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</si>
  <si>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</si>
  <si>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</si>
  <si>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</si>
  <si>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</si>
  <si>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</si>
  <si>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</si>
  <si>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</si>
  <si>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</si>
  <si>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</si>
  <si>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</si>
  <si>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</si>
  <si>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</si>
  <si>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</si>
  <si>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</si>
  <si>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</si>
  <si>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</si>
  <si>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</si>
  <si>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</si>
  <si>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</si>
  <si>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</si>
  <si>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</t>
  </si>
  <si>
    <t>Sneasler</t>
  </si>
  <si>
    <t>Overqwil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</si>
  <si>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</si>
  <si>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</si>
  <si>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</si>
  <si>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</si>
  <si>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</si>
  <si>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</si>
  <si>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</si>
  <si>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</si>
  <si>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</si>
  <si>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</si>
  <si>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</si>
  <si>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</si>
  <si>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</si>
  <si>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</si>
  <si>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</si>
  <si>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</si>
  <si>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</si>
  <si>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</si>
  <si>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</si>
  <si>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</si>
  <si>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</si>
  <si>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</si>
  <si>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</si>
  <si>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</si>
  <si>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</si>
  <si>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</si>
  <si>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</si>
  <si>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</si>
  <si>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</si>
  <si>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</si>
  <si>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</si>
  <si>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</si>
  <si>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</si>
  <si>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</si>
  <si>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</si>
  <si>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</si>
  <si>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</si>
  <si>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</si>
  <si>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</si>
  <si>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</si>
  <si>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</si>
  <si>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</si>
  <si>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</si>
  <si>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</si>
  <si>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</si>
  <si>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</si>
  <si>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</si>
  <si>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</si>
  <si>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</si>
  <si>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</si>
  <si>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</si>
  <si>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</si>
  <si>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</si>
  <si>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</si>
  <si>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</si>
  <si>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</si>
  <si>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</si>
  <si>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</si>
  <si>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</si>
  <si>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</si>
  <si>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</si>
  <si>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</si>
  <si>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</si>
  <si>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</si>
  <si>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</si>
  <si>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</si>
  <si>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</si>
  <si>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</si>
  <si>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</si>
  <si>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</si>
  <si>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</si>
  <si>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</si>
  <si>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</si>
  <si>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</si>
  <si>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Annihilape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</si>
  <si>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</si>
  <si>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</si>
  <si>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</si>
  <si>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</si>
  <si>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</si>
  <si>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</si>
  <si>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</si>
  <si>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</si>
  <si>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</si>
  <si>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</si>
  <si>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</si>
  <si>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</si>
  <si>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</si>
  <si>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</si>
  <si>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</si>
  <si>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</si>
  <si>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</si>
  <si>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</si>
  <si>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</si>
  <si>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</si>
  <si>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</si>
  <si>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</si>
  <si>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</si>
  <si>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</si>
  <si>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</si>
  <si>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</si>
  <si>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</si>
  <si>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</si>
  <si>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</si>
  <si>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</si>
  <si>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</si>
  <si>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</si>
  <si>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</si>
  <si>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</si>
  <si>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</si>
  <si>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</si>
  <si>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</si>
  <si>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</si>
  <si>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</si>
  <si>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</si>
  <si>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</si>
  <si>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</si>
  <si>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</si>
  <si>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</si>
  <si>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</si>
  <si>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</si>
  <si>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Wild Zone 20</t>
  </si>
  <si>
    <t xml:space="preserve">Wild Zone 20 </t>
  </si>
  <si>
    <t>Wild Zone 1</t>
  </si>
  <si>
    <t>Wild Zone 2</t>
  </si>
  <si>
    <t>Wild Zone 3</t>
  </si>
  <si>
    <t>Wild Zone 19</t>
  </si>
  <si>
    <t>Wild Zone 4</t>
  </si>
  <si>
    <t>Wild Zone 5</t>
  </si>
  <si>
    <t>Wild Zone 6</t>
  </si>
  <si>
    <t>Wild Zone 8</t>
  </si>
  <si>
    <t>Wild Zone 7</t>
  </si>
  <si>
    <t>Wild Zone 9</t>
  </si>
  <si>
    <t>Wild Zone 10</t>
  </si>
  <si>
    <t>Wild Zone 11</t>
  </si>
  <si>
    <t>Lumiose Sewers</t>
  </si>
  <si>
    <t>Wild Zone 12</t>
  </si>
  <si>
    <t>Wild Zone 13</t>
  </si>
  <si>
    <t>Wild Zone 14</t>
  </si>
  <si>
    <t>Wild Zone 18</t>
  </si>
  <si>
    <t>Wild Zone 17</t>
  </si>
  <si>
    <t>Wild Zone 15</t>
  </si>
  <si>
    <t>Wild Zone 16</t>
  </si>
  <si>
    <t>Lysandre Labs</t>
  </si>
  <si>
    <t>Wild Zones 1 &amp; 5</t>
  </si>
  <si>
    <t>Wild Zones 2 &amp; 4</t>
  </si>
  <si>
    <t>Wild Zones 2 &amp; 6</t>
  </si>
  <si>
    <t>Wild Zones 3 &amp; 9</t>
  </si>
  <si>
    <t>Wild Zones 5 &amp; 10</t>
  </si>
  <si>
    <t>Wild Zones 7 &amp; 19</t>
  </si>
  <si>
    <t>Bleu Sector 5 (On Market Stalls)</t>
  </si>
  <si>
    <t>Wild Zone 19 &amp; Magneta Sector 9 (On Roof)</t>
  </si>
  <si>
    <t>Wild Zones 7 &amp; 12</t>
  </si>
  <si>
    <t>Wild Zones 8 &amp; 14</t>
  </si>
  <si>
    <t>Wild Zones 8 &amp; 12</t>
  </si>
  <si>
    <t>Hibernal Avenue (In Trees)</t>
  </si>
  <si>
    <t>Vert Sector 4 (In Courtyard)</t>
  </si>
  <si>
    <t/>
  </si>
  <si>
    <t>Chikorita (Lvl 16)</t>
  </si>
  <si>
    <t>Bayleef (Lvl 32)</t>
  </si>
  <si>
    <t>Tepig (Lvl 17)</t>
  </si>
  <si>
    <t>Pignite (Lvl 36)</t>
  </si>
  <si>
    <t>Totodile (Lvl 18)</t>
  </si>
  <si>
    <t>Croconaw (Lvl 30)</t>
  </si>
  <si>
    <t>Fletchling (Lvl 17)</t>
  </si>
  <si>
    <t>Fletchinder (Lvl 35)</t>
  </si>
  <si>
    <t>Scatterbug (Lvl 9)</t>
  </si>
  <si>
    <t>Spewpa (Lvl 12)</t>
  </si>
  <si>
    <t>Weedle (Lvl 7)</t>
  </si>
  <si>
    <t>Kakuna (Lvl 10)</t>
  </si>
  <si>
    <t>Pidgey (Lvl 18)</t>
  </si>
  <si>
    <t>Pidgeotto (Lvl 36)</t>
  </si>
  <si>
    <t>Mareep (Lvl 15)</t>
  </si>
  <si>
    <t>Flaaffy (Lvl 30)</t>
  </si>
  <si>
    <t>Patrat (Lvl 20)</t>
  </si>
  <si>
    <t>Staryu (Water Stone)</t>
  </si>
  <si>
    <t>Floette (Shiny Stone)</t>
  </si>
  <si>
    <t>Pichu (High Friendship)</t>
  </si>
  <si>
    <t>Kadabra (Trade)</t>
  </si>
  <si>
    <t>Weepinbell (Leaf Stone)</t>
  </si>
  <si>
    <t>Pansage (Leaf Stone)</t>
  </si>
  <si>
    <t>Pansear (Fire Stone)</t>
  </si>
  <si>
    <t>Panpour (Water Stone)</t>
  </si>
  <si>
    <t>Buneary (High Friendship)</t>
  </si>
  <si>
    <t>Eevee (Max Friendship w/ Fairy Move)</t>
  </si>
  <si>
    <t>Slowpoke (Trade Holding King's Rock)</t>
  </si>
  <si>
    <t>Elektrik (Thunder Stone)</t>
  </si>
  <si>
    <t>Snorunt (Dawn Stone on Female)</t>
  </si>
  <si>
    <t>Scyther (Trade holding Metal Coat)</t>
  </si>
  <si>
    <t>Flabébé (Lvl 19)</t>
  </si>
  <si>
    <t>Skiddo (Lvl 32)</t>
  </si>
  <si>
    <t>Meowstic (Lvl 35)</t>
  </si>
  <si>
    <t>Spinarak (Lvl 22)</t>
  </si>
  <si>
    <t>Ekans (Lvl 22)</t>
  </si>
  <si>
    <t>Abra (Lvl 16)</t>
  </si>
  <si>
    <t>Venipede (Lvl 22)</t>
  </si>
  <si>
    <t>Whirlipede (Lvl 30)</t>
  </si>
  <si>
    <t>Bellsprout (Lvl 21)</t>
  </si>
  <si>
    <t>Meditite (Lvl 37)</t>
  </si>
  <si>
    <t>Houndour (Lvl 24)</t>
  </si>
  <si>
    <t>Swablu (Lvl 35)</t>
  </si>
  <si>
    <t>Shuppet (Lvl 37)</t>
  </si>
  <si>
    <t>Numel (Lvl 33)</t>
  </si>
  <si>
    <t>Sandile (Lvl 29)</t>
  </si>
  <si>
    <t>Krokorok (Lvl 40)</t>
  </si>
  <si>
    <t>Gible (Lvl 24)</t>
  </si>
  <si>
    <t>Gabite (Lvl 48)</t>
  </si>
  <si>
    <t>Slowpoke (Lvl 37)</t>
  </si>
  <si>
    <t>Carvanha (Lvl 30)</t>
  </si>
  <si>
    <t>Tynamo (Lvl 39)</t>
  </si>
  <si>
    <t>Dragonair (Lvl 55)</t>
  </si>
  <si>
    <t>Bulbasaur (Lvl 16)</t>
  </si>
  <si>
    <t>Ivysaur (Lvl 32)</t>
  </si>
  <si>
    <t>Charmeleon (Lvl 32)</t>
  </si>
  <si>
    <t>Squirtle (Lvl 16)</t>
  </si>
  <si>
    <t>Wartortle (Lvl 36)</t>
  </si>
  <si>
    <t>Skrelp (Lvl 48)</t>
  </si>
  <si>
    <t>Clauncher (Lvl 37)</t>
  </si>
  <si>
    <t>Sliggoo (Lvl 50 While Raining)</t>
  </si>
  <si>
    <t>Tyrunt (Lvl 39 During Day)</t>
  </si>
  <si>
    <t>Amaura (Lvl 39 During Night)</t>
  </si>
  <si>
    <t>Aron (Lvl 32)</t>
  </si>
  <si>
    <t>Lairon (Lvl 42)</t>
  </si>
  <si>
    <t>Froakie (Lvl 16)</t>
  </si>
  <si>
    <t>Frogadier (Lvl 36)</t>
  </si>
  <si>
    <t>Chespin (Lvl 16)</t>
  </si>
  <si>
    <t>Quilladin (Lvl 36)</t>
  </si>
  <si>
    <t>Fennekin (Lvl 16)</t>
  </si>
  <si>
    <t>Braixen (Lvl 36)</t>
  </si>
  <si>
    <t>Bagon (Lvl 30)</t>
  </si>
  <si>
    <t>Salamence (Lvl 50)</t>
  </si>
  <si>
    <t>Beldum (Lvl 20)</t>
  </si>
  <si>
    <t>Metang (Lvl 45)</t>
  </si>
  <si>
    <t>Wild Zones 6 &amp; 16</t>
  </si>
  <si>
    <t>Rouge Sector 6 (On Trash Bins)</t>
  </si>
  <si>
    <t>Juane Sector 7 (In Alley)</t>
  </si>
  <si>
    <t>Bleu Sector 5 (On SW Roof)</t>
  </si>
  <si>
    <t>Vert Sector 3 (On Roof)</t>
  </si>
  <si>
    <t>Magenta Plaza (Rooftop)</t>
  </si>
  <si>
    <t>Main Mission 20 (In Old Building)</t>
  </si>
  <si>
    <t>Main Mission 9</t>
  </si>
  <si>
    <t>Wild Zones 10 &amp; 11</t>
  </si>
  <si>
    <t>Restaurant Le Nah (On Roof)</t>
  </si>
  <si>
    <t>Jaune Sector 2 (On Roof)</t>
  </si>
  <si>
    <t>Side Mission 22 &amp; Wild Zone 20</t>
  </si>
  <si>
    <t>Wild Zones 11 &amp; 19</t>
  </si>
  <si>
    <t>Vert Sector 9 (On Bridge During Rain)</t>
  </si>
  <si>
    <t>Vert Sector 4 (By Water During Rain)</t>
  </si>
  <si>
    <t>Evolve Only</t>
  </si>
  <si>
    <t>Restaurant Le Yeah (On Roof)</t>
  </si>
  <si>
    <t>Restore Fossil (Amber)</t>
  </si>
  <si>
    <t>Restore Fossil (Jaw)</t>
  </si>
  <si>
    <t>Restore Fossil (Sail)</t>
  </si>
  <si>
    <t>Main Mission 40</t>
  </si>
  <si>
    <t>Main Mission 41</t>
  </si>
  <si>
    <t>Main Mission 42</t>
  </si>
  <si>
    <t>EX Mission 1</t>
  </si>
  <si>
    <t>EX Mission 2</t>
  </si>
  <si>
    <t>Alpha Chikorita</t>
  </si>
  <si>
    <t>Alpha Bayleef</t>
  </si>
  <si>
    <t>Alpha Meganium</t>
  </si>
  <si>
    <t>Alpha Tepig</t>
  </si>
  <si>
    <t>Alpha Pignite</t>
  </si>
  <si>
    <t>Alpha Emboar</t>
  </si>
  <si>
    <t>Alpha Totodile</t>
  </si>
  <si>
    <t>Alpha Croconaw</t>
  </si>
  <si>
    <t>Alpha Feraligatr</t>
  </si>
  <si>
    <t>Alpha Fletchling</t>
  </si>
  <si>
    <t>Alpha Fletchinder</t>
  </si>
  <si>
    <t>Alpha Talonflame</t>
  </si>
  <si>
    <t>Alpha Bunnelby</t>
  </si>
  <si>
    <t>Alpha Diggersby</t>
  </si>
  <si>
    <t>Alpha Scatterbug</t>
  </si>
  <si>
    <t>Alpha Spewpa</t>
  </si>
  <si>
    <t>Alpha Vivillon</t>
  </si>
  <si>
    <t>Alpha Weedle</t>
  </si>
  <si>
    <t>Alpha Kakuna</t>
  </si>
  <si>
    <t>Alpha Beedrill</t>
  </si>
  <si>
    <t>Alpha Pidgey</t>
  </si>
  <si>
    <t>Alpha Pidgeotto</t>
  </si>
  <si>
    <t>Alpha Pidgeot</t>
  </si>
  <si>
    <t>Alpha Mareep</t>
  </si>
  <si>
    <t>Alpha Flaaffy</t>
  </si>
  <si>
    <t>Alpha Ampharos</t>
  </si>
  <si>
    <t>Alpha Patrat</t>
  </si>
  <si>
    <t>Alpha Watchog</t>
  </si>
  <si>
    <t>Alpha Budew</t>
  </si>
  <si>
    <t>Alpha Roselia</t>
  </si>
  <si>
    <t>Alpha Roserade</t>
  </si>
  <si>
    <t>Alpha Magikarp</t>
  </si>
  <si>
    <t>Alpha Gyarados</t>
  </si>
  <si>
    <t>Alpha Binacle</t>
  </si>
  <si>
    <t>Alpha Barbaracle</t>
  </si>
  <si>
    <t>Alpha Staryu</t>
  </si>
  <si>
    <t>Alpha Starmie</t>
  </si>
  <si>
    <t>Alpha Flabébé</t>
  </si>
  <si>
    <t>Alpha Floette</t>
  </si>
  <si>
    <t>Alpha Florges</t>
  </si>
  <si>
    <t>Alpha Skiddo</t>
  </si>
  <si>
    <t>Alpha Gogoat</t>
  </si>
  <si>
    <t>Alpha Espurr</t>
  </si>
  <si>
    <t>Alpha Meowstic</t>
  </si>
  <si>
    <t>Alpha Litleo</t>
  </si>
  <si>
    <t>Alpha Pyroar</t>
  </si>
  <si>
    <t>Alpha Pancham</t>
  </si>
  <si>
    <t>Alpha Pangoro</t>
  </si>
  <si>
    <t>Alpha Trubbish</t>
  </si>
  <si>
    <t>Alpha Garbodor</t>
  </si>
  <si>
    <t>Alpha Dedenne</t>
  </si>
  <si>
    <t>Alpha Pichu</t>
  </si>
  <si>
    <t>Alpha Pikachu</t>
  </si>
  <si>
    <t>Alpha Raichu</t>
  </si>
  <si>
    <t>Alpha Cleffa</t>
  </si>
  <si>
    <t>Alpha Clefairy</t>
  </si>
  <si>
    <t>Alpha Clefable</t>
  </si>
  <si>
    <t>Alpha Spinarak</t>
  </si>
  <si>
    <t>Alpha Ariados</t>
  </si>
  <si>
    <t>Alpha Ekans</t>
  </si>
  <si>
    <t>Alpha Arbok</t>
  </si>
  <si>
    <t>Alpha Abra</t>
  </si>
  <si>
    <t>Alpha Kadabra</t>
  </si>
  <si>
    <t>Alpha Alakazam</t>
  </si>
  <si>
    <t>Alpha Gastly</t>
  </si>
  <si>
    <t>Alpha Haunter</t>
  </si>
  <si>
    <t>Alpha Gengar</t>
  </si>
  <si>
    <t>Alpha Venipede</t>
  </si>
  <si>
    <t>Alpha Whirlipede</t>
  </si>
  <si>
    <t>Alpha Scolipede</t>
  </si>
  <si>
    <t>Alpha Honedge</t>
  </si>
  <si>
    <t>Alpha Doublade</t>
  </si>
  <si>
    <t>Alpha Aegislash</t>
  </si>
  <si>
    <t>Alpha Bellsprout</t>
  </si>
  <si>
    <t>Alpha Weepinbell</t>
  </si>
  <si>
    <t>Alpha Victreebel</t>
  </si>
  <si>
    <t>Alpha Pansage</t>
  </si>
  <si>
    <t>Alpha Simisage</t>
  </si>
  <si>
    <t>Alpha Pansear</t>
  </si>
  <si>
    <t>Alpha Simisear</t>
  </si>
  <si>
    <t>Alpha Panpour</t>
  </si>
  <si>
    <t>Alpha Simipour</t>
  </si>
  <si>
    <t>Alpha Meditite</t>
  </si>
  <si>
    <t>Alpha Medicham</t>
  </si>
  <si>
    <t>Alpha Electrike</t>
  </si>
  <si>
    <t>Alpha Manectric</t>
  </si>
  <si>
    <t>Alpha Ralts</t>
  </si>
  <si>
    <t>Alpha Kirlia</t>
  </si>
  <si>
    <t>Alpha Gardevoir</t>
  </si>
  <si>
    <t>Alpha Gallade</t>
  </si>
  <si>
    <t>Alpha Houndour</t>
  </si>
  <si>
    <t>Alpha Houndoom</t>
  </si>
  <si>
    <t>Alpha Swablu</t>
  </si>
  <si>
    <t>Alpha Altaria</t>
  </si>
  <si>
    <t>Alpha Audino</t>
  </si>
  <si>
    <t>Alpha Spritzee</t>
  </si>
  <si>
    <t>Alpha Aromatisse</t>
  </si>
  <si>
    <t>Alpha Swirlix</t>
  </si>
  <si>
    <t>Alpha Slurpuff</t>
  </si>
  <si>
    <t>Alpha Eevee</t>
  </si>
  <si>
    <t>Alpha Vaporeon</t>
  </si>
  <si>
    <t>Alpha Jolteon</t>
  </si>
  <si>
    <t>Alpha Flareon</t>
  </si>
  <si>
    <t>Alpha Espeon</t>
  </si>
  <si>
    <t>Alpha Umbreon</t>
  </si>
  <si>
    <t>Alpha Leafeon</t>
  </si>
  <si>
    <t>Alpha Glaceon</t>
  </si>
  <si>
    <t>Alpha Sylveon</t>
  </si>
  <si>
    <t>Alpha Buneary</t>
  </si>
  <si>
    <t>Alpha Lopunny</t>
  </si>
  <si>
    <t>Alpha Shuppet</t>
  </si>
  <si>
    <t>Alpha Banette</t>
  </si>
  <si>
    <t>Alpha Vanillite</t>
  </si>
  <si>
    <t>Alpha Vanillish</t>
  </si>
  <si>
    <t>Alpha Vanilluxe</t>
  </si>
  <si>
    <t>Alpha Numel</t>
  </si>
  <si>
    <t>Alpha Camerupt</t>
  </si>
  <si>
    <t>Alpha Hippopotas</t>
  </si>
  <si>
    <t>Alpha Hippowdon</t>
  </si>
  <si>
    <t>Alpha Drilbur</t>
  </si>
  <si>
    <t>Alpha Excadrill</t>
  </si>
  <si>
    <t>Alpha Sandile</t>
  </si>
  <si>
    <t>Alpha Krokorok</t>
  </si>
  <si>
    <t>Alpha Krookodile</t>
  </si>
  <si>
    <t>Alpha Machop</t>
  </si>
  <si>
    <t>Alpha Machoke</t>
  </si>
  <si>
    <t>Alpha Machamp</t>
  </si>
  <si>
    <t>Alpha Gible</t>
  </si>
  <si>
    <t>Alpha Gabite</t>
  </si>
  <si>
    <t>Alpha Garchomp</t>
  </si>
  <si>
    <t>Alpha Carbink</t>
  </si>
  <si>
    <t>Alpha Sableye</t>
  </si>
  <si>
    <t>Alpha Mawile</t>
  </si>
  <si>
    <t>Alpha Absol</t>
  </si>
  <si>
    <t>Alpha Riolu</t>
  </si>
  <si>
    <t>Alpha Lucario</t>
  </si>
  <si>
    <t>Alpha Slowpoke</t>
  </si>
  <si>
    <t>Alpha Slowbro</t>
  </si>
  <si>
    <t>Alpha Slowking</t>
  </si>
  <si>
    <t>Alpha Carvanha</t>
  </si>
  <si>
    <t>Alpha Sharpedo</t>
  </si>
  <si>
    <t>Alpha Tynamo</t>
  </si>
  <si>
    <t>Alpha Eelektrik</t>
  </si>
  <si>
    <t>Alpha Eelektross</t>
  </si>
  <si>
    <t>Alpha Dratini</t>
  </si>
  <si>
    <t>Alpha Dragonair</t>
  </si>
  <si>
    <t>Alpha Dragonite</t>
  </si>
  <si>
    <t>Alpha Bulbasaur</t>
  </si>
  <si>
    <t>Alpha Ivysaur</t>
  </si>
  <si>
    <t>Alpha Venusaur</t>
  </si>
  <si>
    <t>Alpha Charmander</t>
  </si>
  <si>
    <t>Alpha Charmeleon</t>
  </si>
  <si>
    <t>Alpha Charizard</t>
  </si>
  <si>
    <t>Alpha Squirtle</t>
  </si>
  <si>
    <t>Alpha Wartortle</t>
  </si>
  <si>
    <t>Alpha Blastoise</t>
  </si>
  <si>
    <t>Alpha Stunfisk</t>
  </si>
  <si>
    <t>Alpha Furfrou</t>
  </si>
  <si>
    <t>Alpha Inkay</t>
  </si>
  <si>
    <t>Alpha Malamar</t>
  </si>
  <si>
    <t>Alpha Skrelp</t>
  </si>
  <si>
    <t>Alpha Dragalge</t>
  </si>
  <si>
    <t>Alpha Clauncher</t>
  </si>
  <si>
    <t>Alpha Clawitzer</t>
  </si>
  <si>
    <t>Alpha Goomy</t>
  </si>
  <si>
    <t>Alpha Sliggoo</t>
  </si>
  <si>
    <t>Alpha Goodra</t>
  </si>
  <si>
    <t>Alpha Delibird</t>
  </si>
  <si>
    <t>Alpha Snorunt</t>
  </si>
  <si>
    <t>Alpha Glalie</t>
  </si>
  <si>
    <t>Alpha Froslass</t>
  </si>
  <si>
    <t>Alpha Snover</t>
  </si>
  <si>
    <t>Alpha Abomasnow</t>
  </si>
  <si>
    <t>Alpha Bergmite</t>
  </si>
  <si>
    <t>Alpha Avalugg</t>
  </si>
  <si>
    <t>Alpha Scyther</t>
  </si>
  <si>
    <t>Alpha Scizor</t>
  </si>
  <si>
    <t>Alpha Pinsir</t>
  </si>
  <si>
    <t>Alpha Heracross</t>
  </si>
  <si>
    <t>Alpha Emolga</t>
  </si>
  <si>
    <t>Alpha Hawlucha</t>
  </si>
  <si>
    <t>Alpha Phantump</t>
  </si>
  <si>
    <t>Alpha Trevenant</t>
  </si>
  <si>
    <t>Alpha Scraggy</t>
  </si>
  <si>
    <t>Alpha Scrafty</t>
  </si>
  <si>
    <t>Alpha Noibat</t>
  </si>
  <si>
    <t>Alpha Noivern</t>
  </si>
  <si>
    <t>Alpha Klefki</t>
  </si>
  <si>
    <t>Alpha Litwick</t>
  </si>
  <si>
    <t>Alpha Lampent</t>
  </si>
  <si>
    <t>Alpha Chandelure</t>
  </si>
  <si>
    <t>Alpha Onix</t>
  </si>
  <si>
    <t>Alpha Steelix</t>
  </si>
  <si>
    <t>Alpha Aron</t>
  </si>
  <si>
    <t>Alpha Lairon</t>
  </si>
  <si>
    <t>Alpha Aggron</t>
  </si>
  <si>
    <t>Alpha Helioptile</t>
  </si>
  <si>
    <t>Alpha Heliolisk</t>
  </si>
  <si>
    <t>Alpha Pumpkaboo</t>
  </si>
  <si>
    <t>Alpha Gourgeist</t>
  </si>
  <si>
    <t>Alpha Larvitar</t>
  </si>
  <si>
    <t>Alpha Pupitar</t>
  </si>
  <si>
    <t>Alpha Tyranitar</t>
  </si>
  <si>
    <t>Alpha Froakie</t>
  </si>
  <si>
    <t>Alpha Frogadier</t>
  </si>
  <si>
    <t>Alpha Greninja</t>
  </si>
  <si>
    <t>Alpha Falinks</t>
  </si>
  <si>
    <t>Alpha Chespin</t>
  </si>
  <si>
    <t>Alpha Quilladin</t>
  </si>
  <si>
    <t>Alpha Chesnaught</t>
  </si>
  <si>
    <t>Alpha Skarmory</t>
  </si>
  <si>
    <t>Alpha Fennekin</t>
  </si>
  <si>
    <t>Alpha Braixen</t>
  </si>
  <si>
    <t>Alpha Delphox</t>
  </si>
  <si>
    <t>Alpha Bagon</t>
  </si>
  <si>
    <t>Alpha Shelgon</t>
  </si>
  <si>
    <t>Alpha Salamence</t>
  </si>
  <si>
    <t>Alpha Kangaskhan</t>
  </si>
  <si>
    <t>Alpha Drampa</t>
  </si>
  <si>
    <t>Alpha Beldum</t>
  </si>
  <si>
    <t>Alpha Metang</t>
  </si>
  <si>
    <t>Alpha Metagross</t>
  </si>
  <si>
    <t>001a</t>
  </si>
  <si>
    <t>002a</t>
  </si>
  <si>
    <t>003a</t>
  </si>
  <si>
    <t>004a</t>
  </si>
  <si>
    <t>005a</t>
  </si>
  <si>
    <t>006a</t>
  </si>
  <si>
    <t>007a</t>
  </si>
  <si>
    <t>008a</t>
  </si>
  <si>
    <t>009a</t>
  </si>
  <si>
    <t>010a</t>
  </si>
  <si>
    <t>011a</t>
  </si>
  <si>
    <t>012a</t>
  </si>
  <si>
    <t>013a</t>
  </si>
  <si>
    <t>014a</t>
  </si>
  <si>
    <t>015a</t>
  </si>
  <si>
    <t>016a</t>
  </si>
  <si>
    <t>017a</t>
  </si>
  <si>
    <t>018a</t>
  </si>
  <si>
    <t>019a</t>
  </si>
  <si>
    <t>020a</t>
  </si>
  <si>
    <t>021a</t>
  </si>
  <si>
    <t>022a</t>
  </si>
  <si>
    <t>023a</t>
  </si>
  <si>
    <t>024a</t>
  </si>
  <si>
    <t>025a</t>
  </si>
  <si>
    <t>026a</t>
  </si>
  <si>
    <t>027a</t>
  </si>
  <si>
    <t>028a</t>
  </si>
  <si>
    <t>029a</t>
  </si>
  <si>
    <t>030a</t>
  </si>
  <si>
    <t>031a</t>
  </si>
  <si>
    <t>032a</t>
  </si>
  <si>
    <t>033a</t>
  </si>
  <si>
    <t>034a</t>
  </si>
  <si>
    <t>035a</t>
  </si>
  <si>
    <t>036a</t>
  </si>
  <si>
    <t>037a</t>
  </si>
  <si>
    <t>038a</t>
  </si>
  <si>
    <t>039a</t>
  </si>
  <si>
    <t>040a</t>
  </si>
  <si>
    <t>041a</t>
  </si>
  <si>
    <t>042a</t>
  </si>
  <si>
    <t>043a</t>
  </si>
  <si>
    <t>044a</t>
  </si>
  <si>
    <t>045a</t>
  </si>
  <si>
    <t>046a</t>
  </si>
  <si>
    <t>047a</t>
  </si>
  <si>
    <t>048a</t>
  </si>
  <si>
    <t>049a</t>
  </si>
  <si>
    <t>050a</t>
  </si>
  <si>
    <t>051a</t>
  </si>
  <si>
    <t>052a</t>
  </si>
  <si>
    <t>053a</t>
  </si>
  <si>
    <t>054a</t>
  </si>
  <si>
    <t>055a</t>
  </si>
  <si>
    <t>056a</t>
  </si>
  <si>
    <t>057a</t>
  </si>
  <si>
    <t>058a</t>
  </si>
  <si>
    <t>059a</t>
  </si>
  <si>
    <t>060a</t>
  </si>
  <si>
    <t>061a</t>
  </si>
  <si>
    <t>062a</t>
  </si>
  <si>
    <t>063a</t>
  </si>
  <si>
    <t>064a</t>
  </si>
  <si>
    <t>065a</t>
  </si>
  <si>
    <t>066a</t>
  </si>
  <si>
    <t>067a</t>
  </si>
  <si>
    <t>068a</t>
  </si>
  <si>
    <t>069a</t>
  </si>
  <si>
    <t>070a</t>
  </si>
  <si>
    <t>071a</t>
  </si>
  <si>
    <t>072a</t>
  </si>
  <si>
    <t>073a</t>
  </si>
  <si>
    <t>074a</t>
  </si>
  <si>
    <t>075a</t>
  </si>
  <si>
    <t>076a</t>
  </si>
  <si>
    <t>077a</t>
  </si>
  <si>
    <t>078a</t>
  </si>
  <si>
    <t>079a</t>
  </si>
  <si>
    <t>080a</t>
  </si>
  <si>
    <t>081a</t>
  </si>
  <si>
    <t>082a</t>
  </si>
  <si>
    <t>083a</t>
  </si>
  <si>
    <t>084a</t>
  </si>
  <si>
    <t>085a</t>
  </si>
  <si>
    <t>086a</t>
  </si>
  <si>
    <t>087a</t>
  </si>
  <si>
    <t>088a</t>
  </si>
  <si>
    <t>089a</t>
  </si>
  <si>
    <t>090a</t>
  </si>
  <si>
    <t>091a</t>
  </si>
  <si>
    <t>092a</t>
  </si>
  <si>
    <t>093a</t>
  </si>
  <si>
    <t>094a</t>
  </si>
  <si>
    <t>095a</t>
  </si>
  <si>
    <t>096a</t>
  </si>
  <si>
    <t>097a</t>
  </si>
  <si>
    <t>098a</t>
  </si>
  <si>
    <t>099a</t>
  </si>
  <si>
    <t>100a</t>
  </si>
  <si>
    <t>101a</t>
  </si>
  <si>
    <t>102a</t>
  </si>
  <si>
    <t>103a</t>
  </si>
  <si>
    <t>104a</t>
  </si>
  <si>
    <t>105a</t>
  </si>
  <si>
    <t>106a</t>
  </si>
  <si>
    <t>107a</t>
  </si>
  <si>
    <t>108a</t>
  </si>
  <si>
    <t>109a</t>
  </si>
  <si>
    <t>110a</t>
  </si>
  <si>
    <t>111a</t>
  </si>
  <si>
    <t>112a</t>
  </si>
  <si>
    <t>113a</t>
  </si>
  <si>
    <t>114a</t>
  </si>
  <si>
    <t>115a</t>
  </si>
  <si>
    <t>116a</t>
  </si>
  <si>
    <t>117a</t>
  </si>
  <si>
    <t>118a</t>
  </si>
  <si>
    <t>119a</t>
  </si>
  <si>
    <t>120a</t>
  </si>
  <si>
    <t>121a</t>
  </si>
  <si>
    <t>122a</t>
  </si>
  <si>
    <t>123a</t>
  </si>
  <si>
    <t>124a</t>
  </si>
  <si>
    <t>125a</t>
  </si>
  <si>
    <t>126a</t>
  </si>
  <si>
    <t>127a</t>
  </si>
  <si>
    <t>128a</t>
  </si>
  <si>
    <t>129a</t>
  </si>
  <si>
    <t>130a</t>
  </si>
  <si>
    <t>131a</t>
  </si>
  <si>
    <t>132a</t>
  </si>
  <si>
    <t>133a</t>
  </si>
  <si>
    <t>134a</t>
  </si>
  <si>
    <t>135a</t>
  </si>
  <si>
    <t>136a</t>
  </si>
  <si>
    <t>137a</t>
  </si>
  <si>
    <t>138a</t>
  </si>
  <si>
    <t>139a</t>
  </si>
  <si>
    <t>140a</t>
  </si>
  <si>
    <t>141a</t>
  </si>
  <si>
    <t>142a</t>
  </si>
  <si>
    <t>143a</t>
  </si>
  <si>
    <t>144a</t>
  </si>
  <si>
    <t>145a</t>
  </si>
  <si>
    <t>146a</t>
  </si>
  <si>
    <t>147a</t>
  </si>
  <si>
    <t>148a</t>
  </si>
  <si>
    <t>149a</t>
  </si>
  <si>
    <t>150a</t>
  </si>
  <si>
    <t>151a</t>
  </si>
  <si>
    <t>152a</t>
  </si>
  <si>
    <t>153a</t>
  </si>
  <si>
    <t>154a</t>
  </si>
  <si>
    <t>155a</t>
  </si>
  <si>
    <t>156a</t>
  </si>
  <si>
    <t>157a</t>
  </si>
  <si>
    <t>158a</t>
  </si>
  <si>
    <t>159a</t>
  </si>
  <si>
    <t>160a</t>
  </si>
  <si>
    <t>161a</t>
  </si>
  <si>
    <t>162a</t>
  </si>
  <si>
    <t>163a</t>
  </si>
  <si>
    <t>164a</t>
  </si>
  <si>
    <t>165a</t>
  </si>
  <si>
    <t>166a</t>
  </si>
  <si>
    <t>167a</t>
  </si>
  <si>
    <t>168a</t>
  </si>
  <si>
    <t>169a</t>
  </si>
  <si>
    <t>170a</t>
  </si>
  <si>
    <t>171a</t>
  </si>
  <si>
    <t>172a</t>
  </si>
  <si>
    <t>173a</t>
  </si>
  <si>
    <t>174a</t>
  </si>
  <si>
    <t>175a</t>
  </si>
  <si>
    <t>176a</t>
  </si>
  <si>
    <t>177a</t>
  </si>
  <si>
    <t>178a</t>
  </si>
  <si>
    <t>179a</t>
  </si>
  <si>
    <t>180a</t>
  </si>
  <si>
    <t>181a</t>
  </si>
  <si>
    <t>182a</t>
  </si>
  <si>
    <t>183a</t>
  </si>
  <si>
    <t>184a</t>
  </si>
  <si>
    <t>185a</t>
  </si>
  <si>
    <t>186a</t>
  </si>
  <si>
    <t>187a</t>
  </si>
  <si>
    <t>188a</t>
  </si>
  <si>
    <t>189a</t>
  </si>
  <si>
    <t>190a</t>
  </si>
  <si>
    <t>191a</t>
  </si>
  <si>
    <t>197a</t>
  </si>
  <si>
    <t>198a</t>
  </si>
  <si>
    <t>199a</t>
  </si>
  <si>
    <t>200a</t>
  </si>
  <si>
    <t>201a</t>
  </si>
  <si>
    <t>202a</t>
  </si>
  <si>
    <t>203a</t>
  </si>
  <si>
    <t>204a</t>
  </si>
  <si>
    <t>205a</t>
  </si>
  <si>
    <t>206a</t>
  </si>
  <si>
    <t>207a</t>
  </si>
  <si>
    <t>208a</t>
  </si>
  <si>
    <t>209a</t>
  </si>
  <si>
    <t>210a</t>
  </si>
  <si>
    <t>211a</t>
  </si>
  <si>
    <t>212a</t>
  </si>
  <si>
    <t>213a</t>
  </si>
  <si>
    <t>214a</t>
  </si>
  <si>
    <t>215a</t>
  </si>
  <si>
    <t>216a</t>
  </si>
  <si>
    <t>217a</t>
  </si>
  <si>
    <t>218a</t>
  </si>
  <si>
    <t>219a</t>
  </si>
  <si>
    <t>220a</t>
  </si>
  <si>
    <t>221a</t>
  </si>
  <si>
    <t>222a</t>
  </si>
  <si>
    <t>223a</t>
  </si>
  <si>
    <t>224a</t>
  </si>
  <si>
    <t>225a</t>
  </si>
  <si>
    <t>226a</t>
  </si>
  <si>
    <t>227a</t>
  </si>
  <si>
    <t>Side Mission 1</t>
  </si>
  <si>
    <t>Side Mission 43</t>
  </si>
  <si>
    <t>Magenta Sector 9 (On Tree)</t>
  </si>
  <si>
    <t>Alpha Chikorita (Lvl 16)</t>
  </si>
  <si>
    <t>Alpha Bayleef (Lvl 32)</t>
  </si>
  <si>
    <t>Alpha Tepig (Lvl 17)</t>
  </si>
  <si>
    <t>Alpha Pignite (Lvl 36)</t>
  </si>
  <si>
    <t>Alpha Totodile (Lvl 18)</t>
  </si>
  <si>
    <t>Alpha Croconaw (Lvl 30)</t>
  </si>
  <si>
    <t>Alpha Fletchling (Lvl 17)</t>
  </si>
  <si>
    <t>Alpha Fletchinder (Lvl 35)</t>
  </si>
  <si>
    <t>Alpha Bunnelby (Lvl 20)</t>
  </si>
  <si>
    <t>Alpha Scatterbug (Lvl 9)</t>
  </si>
  <si>
    <t>Alpha Spewpa (Lvl 12)</t>
  </si>
  <si>
    <t>Alpha Weedle (Lvl 7)</t>
  </si>
  <si>
    <t>Alpha Kakuna (Lvl 10)</t>
  </si>
  <si>
    <t>Alpha Pidgey (Lvl 18)</t>
  </si>
  <si>
    <t>Alpha Pidgeotto (Lvl 36)</t>
  </si>
  <si>
    <t>Alpha Mareep (Lvl 15)</t>
  </si>
  <si>
    <t>Alpha Flaaffy (Lvl 30)</t>
  </si>
  <si>
    <t>Alpha Patrat (Lvl 20)</t>
  </si>
  <si>
    <t>Alpha Budew (Max Friendship)</t>
  </si>
  <si>
    <t>Alpha Roselia (Shiny Stone)</t>
  </si>
  <si>
    <t>Alpha Magikarp (Lvl 20)</t>
  </si>
  <si>
    <t>Alpha Binacle (Lvl 39)</t>
  </si>
  <si>
    <t>Alpha Staryu (Water Stone)</t>
  </si>
  <si>
    <t>Alpha Flabébé (Lvl 19)</t>
  </si>
  <si>
    <t>Alpha Floette (Shiny Stone)</t>
  </si>
  <si>
    <t>Alpha Skiddo (Lvl 32)</t>
  </si>
  <si>
    <t>Alpha Espurr (Lvl 25)</t>
  </si>
  <si>
    <t>Alpha Meowstic (Lvl 35)</t>
  </si>
  <si>
    <t>Alpha Pancham (Lvl 32 w/ Dark Type in Party)</t>
  </si>
  <si>
    <t>Alpha Trubbish (Lvl 36)</t>
  </si>
  <si>
    <t>Alpha Pichu (High Friendship)</t>
  </si>
  <si>
    <t>Alpha Pikachu (Thunder Stone)</t>
  </si>
  <si>
    <t>Alpha Cleffa (High Friendship)</t>
  </si>
  <si>
    <t>Alpha Clefairy (Moon Stone)</t>
  </si>
  <si>
    <t>Alpha Spinarak (Lvl 22)</t>
  </si>
  <si>
    <t>Alpha Ekans (Lvl 22)</t>
  </si>
  <si>
    <t>Alpha Abra (Lvl 16)</t>
  </si>
  <si>
    <t>Alpha Kadabra (Trade)</t>
  </si>
  <si>
    <t>Alpha Gastly (Lvl 25)</t>
  </si>
  <si>
    <t>Alpha Haunter (Trade)</t>
  </si>
  <si>
    <t>Alpha Venipede (Lvl 22)</t>
  </si>
  <si>
    <t>Alpha Whirlipede (Lvl 30)</t>
  </si>
  <si>
    <t>Alpha Honedge (Lvl 35)</t>
  </si>
  <si>
    <t>Alpha Doublade (Dusk Stone)</t>
  </si>
  <si>
    <t>Alpha Bellsprout (Lvl 21)</t>
  </si>
  <si>
    <t>Alpha Weepinbell (Leaf Stone)</t>
  </si>
  <si>
    <t>Alpha Pansage (Leaf Stone)</t>
  </si>
  <si>
    <t>Alpha Pansear (Fire Stone)</t>
  </si>
  <si>
    <t>Alpha Panpour (Water Stone)</t>
  </si>
  <si>
    <t>Alpha Meditite (Lvl 37)</t>
  </si>
  <si>
    <t>Alpha Electrike (Lvl 26)</t>
  </si>
  <si>
    <t>Alpha Ralts (Lvl 20)</t>
  </si>
  <si>
    <t>Alpha Kirlia (Lvl 30)</t>
  </si>
  <si>
    <t>Alpha Gardevoir (Dawn Stone on Male)</t>
  </si>
  <si>
    <t>Alpha Houndour (Lvl 24)</t>
  </si>
  <si>
    <t>Alpha Swablu (Lvl 35)</t>
  </si>
  <si>
    <t>Alpha Spritzee (Trade holding Sachet)</t>
  </si>
  <si>
    <t>Alpha Swirlix (Trade holding Whipped Dream)</t>
  </si>
  <si>
    <t>Alpha Eevee (Water Stone)</t>
  </si>
  <si>
    <t>Alpha Eevee (Thunder Stone)</t>
  </si>
  <si>
    <t>Alpha Eevee (Fire Stone)</t>
  </si>
  <si>
    <t>Alpha Eevee (High Friendship During Day)</t>
  </si>
  <si>
    <t>Alpha Eevee (High Friendship During Night)</t>
  </si>
  <si>
    <t>Alpha Eevee (Leaf Stone)</t>
  </si>
  <si>
    <t>Alpha Eevee (Ice Stone)</t>
  </si>
  <si>
    <t>Alpha Eevee (Max Friendship w/ Fairy Move)</t>
  </si>
  <si>
    <t>Alpha Buneary (High Friendship)</t>
  </si>
  <si>
    <t>Alpha Shuppet (Lvl 37)</t>
  </si>
  <si>
    <t>Alpha Vanillite (Lvl 35)</t>
  </si>
  <si>
    <t>Alpha Vanillish (Lvl 47)</t>
  </si>
  <si>
    <t>Alpha Numel (Lvl 33)</t>
  </si>
  <si>
    <t>Alpha Hippopotas (Lvl 34)</t>
  </si>
  <si>
    <t>Alpha Drilbur (Lvl 31)</t>
  </si>
  <si>
    <t>Alpha Sandile (Lvl 29)</t>
  </si>
  <si>
    <t>Alpha Krokorok (Lvl 40)</t>
  </si>
  <si>
    <t>Alpha Machop (Lvl 28)</t>
  </si>
  <si>
    <t>Alpha Machoke (Trade)</t>
  </si>
  <si>
    <t>Alpha Gible (Lvl 24)</t>
  </si>
  <si>
    <t>Alpha Gabite (Lvl 48)</t>
  </si>
  <si>
    <t>Alpha Riolu (High Friendship at Day)</t>
  </si>
  <si>
    <t>Alpha Slowpoke (Lvl 37)</t>
  </si>
  <si>
    <t>Alpha Slowpoke (Trade Holding King's Rock)</t>
  </si>
  <si>
    <t>Alpha Carvanha (Lvl 30)</t>
  </si>
  <si>
    <t>Alpha Tynamo (Lvl 39)</t>
  </si>
  <si>
    <t>Alpha Elektrik (Thunder Stone)</t>
  </si>
  <si>
    <t>Alpha Eelektross (Lvl 30)</t>
  </si>
  <si>
    <t>Alpha Dratini (Lvl 55)</t>
  </si>
  <si>
    <t>Alpha Dragonair (Lvl 55)</t>
  </si>
  <si>
    <t>Alpha Bulbasaur (Lvl 16)</t>
  </si>
  <si>
    <t>Alpha Ivysaur (Lvl 32)</t>
  </si>
  <si>
    <t>Alpha Charmander (Lvl 16)</t>
  </si>
  <si>
    <t>Alpha Charmeleon (Lvl 32)</t>
  </si>
  <si>
    <t>Alpha Squirtle (Lvl 16)</t>
  </si>
  <si>
    <t>Alpha Wartortle (Lvl 36)</t>
  </si>
  <si>
    <t>Alpha Inkay (Lvl 30 Holding Console Upside Down)</t>
  </si>
  <si>
    <t>Alpha Skrelp (Lvl 48)</t>
  </si>
  <si>
    <t>Alpha Clauncher (Lvl 37)</t>
  </si>
  <si>
    <t>Alpha Goomy (Lvl 40)</t>
  </si>
  <si>
    <t>Alpha Sliggoo (Lvl 50 While Raining)</t>
  </si>
  <si>
    <t>Alpha Snorunt (Lvl 42)</t>
  </si>
  <si>
    <t>Alpha Snorunt (Dawn Stone on Female)</t>
  </si>
  <si>
    <t>Alpha Snover (Lvl 40)</t>
  </si>
  <si>
    <t>Alpha Bergmite (Lvl 37)</t>
  </si>
  <si>
    <t>Alpha Scyther (Trade holding Metal Coat)</t>
  </si>
  <si>
    <t>Alpha Phantump (Trade)</t>
  </si>
  <si>
    <t>Alpha Scraggy (Lvl 39)</t>
  </si>
  <si>
    <t>Alpha Noibat (Lvl 48)</t>
  </si>
  <si>
    <t>Alpha Litwick (Lvl 41)</t>
  </si>
  <si>
    <t>Alpha Lampent (Dusk Stone)</t>
  </si>
  <si>
    <t>Alpha Onix (Trade holding Metal Coat)</t>
  </si>
  <si>
    <t>Alpha Aron (Lvl 32)</t>
  </si>
  <si>
    <t>Alpha Lairon (Lvl 42)</t>
  </si>
  <si>
    <t>Alpha Helioptile (Sun Stone)</t>
  </si>
  <si>
    <t>Alpha Pumpkaboo (Trade)</t>
  </si>
  <si>
    <t>Alpha Larvitar (Lvl 30)</t>
  </si>
  <si>
    <t>Alpha Pupitar (Lvl 55)</t>
  </si>
  <si>
    <t>Alpha Froakie (Lvl 16)</t>
  </si>
  <si>
    <t>Alpha Frogadier (Lvl 36)</t>
  </si>
  <si>
    <t>Alpha Chespin (Lvl 16)</t>
  </si>
  <si>
    <t>Alpha Quilladin (Lvl 36)</t>
  </si>
  <si>
    <t>Alpha Fennekin (Lvl 16)</t>
  </si>
  <si>
    <t>Alpha Braixen (Lvl 36)</t>
  </si>
  <si>
    <t>Alpha Bagon (Lvl 30)</t>
  </si>
  <si>
    <t>Alpha Shelgon (Lvl 30)</t>
  </si>
  <si>
    <t>Alpha Salamence (Lvl 50)</t>
  </si>
  <si>
    <t>Alpha Beldum (Lvl 20)</t>
  </si>
  <si>
    <t>Alpha Metang (Lvl 45)</t>
  </si>
  <si>
    <t>Steenee (Lvl Up w/ Stomp)</t>
  </si>
  <si>
    <t>Piloswine (Lvl Up w/ Ancient Power)</t>
  </si>
  <si>
    <t>Bonsly (Lvl Up w/ Mimic)</t>
  </si>
  <si>
    <t>Clobbopus (Lvl Up w/ Taunt)</t>
  </si>
  <si>
    <t>Wild Zone 4 ☀️</t>
  </si>
  <si>
    <t>Wild Zone 13 ☀️</t>
  </si>
  <si>
    <t>Wild Zone 15 ☀️</t>
  </si>
  <si>
    <t>Wild Zone 3 ☀️</t>
  </si>
  <si>
    <t>Wild Zone 16 ☀️</t>
  </si>
  <si>
    <t>Wild Zone 19 ☀️</t>
  </si>
  <si>
    <t>Wild Zone 6 ☀️</t>
  </si>
  <si>
    <t>Wild Zones 6 &amp; 18 ☀️</t>
  </si>
  <si>
    <t>Wild Zone 18 ☀️</t>
  </si>
  <si>
    <t>Wild Zone 7 ☀️</t>
  </si>
  <si>
    <t>Rouge Sector 4 (On SW Roof) ☀️</t>
  </si>
  <si>
    <t>Wild Zone 17 ☀️</t>
  </si>
  <si>
    <t>Wild Zone 14 ☀️</t>
  </si>
  <si>
    <t>Wild Zone 16 🌑</t>
  </si>
  <si>
    <t>Wild Zones 2 🌑 &amp; 10</t>
  </si>
  <si>
    <t>Wild Zone 19 🌑</t>
  </si>
  <si>
    <t>Wild Zone 9 🌑</t>
  </si>
  <si>
    <t>Wild Zone 15 🌑</t>
  </si>
  <si>
    <t>Wild Zone 4 🌑</t>
  </si>
  <si>
    <t>Wild Zones 7 &amp; 15 🌑</t>
  </si>
  <si>
    <t>Wild Zone 13 🌑</t>
  </si>
  <si>
    <t>Wild Zone 18 🌑</t>
  </si>
  <si>
    <t>Wild Zone 17 🌑</t>
  </si>
  <si>
    <t>Wild Zone 3 [FIXED] ☀️</t>
  </si>
  <si>
    <t>Wild Zone 7 [FIXED]</t>
  </si>
  <si>
    <t>Wild Zone 20 [FIXED]</t>
  </si>
  <si>
    <t>Wild Zone 15 [FIXED] ☀️</t>
  </si>
  <si>
    <t>Wild Zone 1 [FIXED]</t>
  </si>
  <si>
    <t>Jaune Sector 4 (On Roof) [FIXED]</t>
  </si>
  <si>
    <t>Wild Zone 16 [FIXED]</t>
  </si>
  <si>
    <t>Coulant Waterway (In Courtyard) [FIXED]</t>
  </si>
  <si>
    <t>Wild Zone 10 [FIXED]</t>
  </si>
  <si>
    <t>Wild Zone 2 [FIXED] ☀️</t>
  </si>
  <si>
    <t>Wild Zone 6 [FIXED]</t>
  </si>
  <si>
    <t>Wild Zone 2 [FIXED] 🌑</t>
  </si>
  <si>
    <t>Jaune Sector 2 (On Roof) [FIXED]</t>
  </si>
  <si>
    <t>Wild Zone 9 [FIXED]</t>
  </si>
  <si>
    <t>Wild Zone 3 [FIXED]</t>
  </si>
  <si>
    <t>Wild Zone 17 [FIXED]</t>
  </si>
  <si>
    <t>Vert Sector 5 [FIXED]</t>
  </si>
  <si>
    <t>Wild Zone 6 [FIXED] 🌑</t>
  </si>
  <si>
    <t>Wild Zone 19 [FIXED] ☀️</t>
  </si>
  <si>
    <t>Wild Zone 20 [FIXED] 🌑</t>
  </si>
  <si>
    <t>Wild Zone 4 [FIXED]</t>
  </si>
  <si>
    <t>Wild Zone 5 [FIXED]</t>
  </si>
  <si>
    <t>Wild Zone 13 [FIXED] ☀️</t>
  </si>
  <si>
    <t>Bleu Sector 6 (On Roof) [FIXED]</t>
  </si>
  <si>
    <t>Wild Zone 18 [FIXED]</t>
  </si>
  <si>
    <t>Wild Zone 15 [FIXED] 🌑</t>
  </si>
  <si>
    <t>Wild Zone 8 [FIXED] ☀️</t>
  </si>
  <si>
    <t>Wild Zone 14 [FIXED]</t>
  </si>
  <si>
    <t>Wild Zone 8 [FIXED]</t>
  </si>
  <si>
    <t>Wild Zone 11 [FIXED]</t>
  </si>
  <si>
    <t>Wild Zones 19 [FIXED]</t>
  </si>
  <si>
    <t>Wild Zone 12 [FIXED]</t>
  </si>
  <si>
    <t>Wild Zone 13 [FIXED] 🌑</t>
  </si>
  <si>
    <t>Wild Zones 15 &amp; 20 [FIXED]</t>
  </si>
  <si>
    <t>Wild Zone 20 [CHANCE]</t>
  </si>
  <si>
    <t>Wild Zone 1 [CHANCE]</t>
  </si>
  <si>
    <t>Wild Zone 4 [CHANCE] ☀️</t>
  </si>
  <si>
    <t>Wild Zone 5 [CHANCE]</t>
  </si>
  <si>
    <t>Wild Zones 6 &amp; 16 [CHANCE]</t>
  </si>
  <si>
    <t>Wild Zone 2 [CHANCE]</t>
  </si>
  <si>
    <t>Wild Zone 7 [CHANCE]</t>
  </si>
  <si>
    <t>Wild Zone 3 [CHANCE]</t>
  </si>
  <si>
    <t>Wild Zones 3 &amp; 9 [CHANCE]</t>
  </si>
  <si>
    <t>Wild Zone 19 [CHANCE] 🌑</t>
  </si>
  <si>
    <t>Lysandre Labs [CHANCE]</t>
  </si>
  <si>
    <t>Wild Zone 9 [CHANCE] 🌑</t>
  </si>
  <si>
    <t>Wild Zone 4 [CHANCE]</t>
  </si>
  <si>
    <t>Wild Zone 15 [CHANCE] 🌑</t>
  </si>
  <si>
    <t>Wild Zone 4 [CHANCE] 🌑</t>
  </si>
  <si>
    <t>Wild Zone 6 [CHANCE] ☀️</t>
  </si>
  <si>
    <t>Bleu Sector 7 (In Courtyard) [CHANCE]</t>
  </si>
  <si>
    <t>Wild Zones 6 &amp; 18 [CHANCE] ☀️</t>
  </si>
  <si>
    <t>Wild Zones 7 &amp; 19 [CHANCE]</t>
  </si>
  <si>
    <t>Rouge Sector 7 (On Roof) [CHANCE]</t>
  </si>
  <si>
    <t>Magenta Sector 3 (On Roof) [CHANCE]</t>
  </si>
  <si>
    <t>Wild Zone 19 [CHANCE]</t>
  </si>
  <si>
    <t>Wild Zone 6 [CHANCE]</t>
  </si>
  <si>
    <t>Wild Zones 7 &amp; 15 [CHANCE] 🌑</t>
  </si>
  <si>
    <t>Wild Zones 7 &amp; 12 [CHANCE]</t>
  </si>
  <si>
    <t>Wild Zone 8 [CHANCE]</t>
  </si>
  <si>
    <t>Wild Zone 7 [CHANCE] ☀️</t>
  </si>
  <si>
    <t>Wild Zones 8 &amp; 14 [CHANCE]</t>
  </si>
  <si>
    <t>Wild Zones 8 &amp; 12 [CHANCE]</t>
  </si>
  <si>
    <t>Wild Zone 12 [CHANCE]</t>
  </si>
  <si>
    <t>Rouge Sector 4 (On SW Roof) [CHANCE] ☀️</t>
  </si>
  <si>
    <t>Wild Zones 10 &amp; 11 [CHANCE]</t>
  </si>
  <si>
    <t>Wild Zone 10 [CHANCE]</t>
  </si>
  <si>
    <t>Magenta Sector 8 (On Roof) [CHANCE]</t>
  </si>
  <si>
    <t>Restaurant Le Nah (On Roof) [CHANCE]</t>
  </si>
  <si>
    <t>Lumiose Sewers [CHANCE]</t>
  </si>
  <si>
    <t>Wild Zone 11 [CHANCE]</t>
  </si>
  <si>
    <t>Saison Canal (During Rain) [CHANCE]</t>
  </si>
  <si>
    <t>Vert Sector 4 (By Water During Rain) [CHANCE]</t>
  </si>
  <si>
    <t>Wild Zone 13 [CHANCE] 🌑</t>
  </si>
  <si>
    <t>Wild Zone 14 [CHANCE]</t>
  </si>
  <si>
    <t>Wild Zone 17 [CHANCE] 🌑</t>
  </si>
  <si>
    <t>Wild Zone 14 [CHANCE] ☀️</t>
  </si>
  <si>
    <t>Wild Zone 15 [CHANCE]</t>
  </si>
  <si>
    <t>Wild Zone 16 [CHANCE]</t>
  </si>
  <si>
    <t>Wild Zone 17 [CHANCE]</t>
  </si>
  <si>
    <t>Wild Zone 18 [CHANCE]</t>
  </si>
  <si>
    <t>Kirlia (Dawn Stone on Male)</t>
  </si>
  <si>
    <t>Breed Roselia Holding Rose Incense</t>
  </si>
  <si>
    <t>Breed Pikachu</t>
  </si>
  <si>
    <t>Breed any Eeveelution</t>
  </si>
  <si>
    <t>Eevee (High friendship at night)</t>
  </si>
  <si>
    <t>Breed Wobbuffet holding Lax Incense</t>
  </si>
  <si>
    <t>Breed Clefairy</t>
  </si>
  <si>
    <t>Breed Snorlax holding Full Incense</t>
  </si>
  <si>
    <t>Mantyke (Level up w/ Remoraid in Party)</t>
  </si>
  <si>
    <t>Breed Mr. Mime holding Odd Incense</t>
  </si>
  <si>
    <t>Breed or Trade</t>
  </si>
  <si>
    <t>Evolve&lt;span class='sword-highlight'&gt;🗡️only or Trade</t>
  </si>
  <si>
    <t>Evolve&lt;span class='shield-highlight'&gt;🛡️only or Trade</t>
  </si>
  <si>
    <t>Route 2 👁️</t>
  </si>
  <si>
    <t>Giant's Cap 👁️🔍</t>
  </si>
  <si>
    <t>Slumbering Weald 👁️🔍</t>
  </si>
  <si>
    <t>Route 1 🔍</t>
  </si>
  <si>
    <t>Rolling Fields 👁️</t>
  </si>
  <si>
    <t>East Lake Axewell 👁️</t>
  </si>
  <si>
    <t>Axew's Eye ☔ 🔍</t>
  </si>
  <si>
    <t>Giant's Seat 🪟☀️⛅🌪️ 📍</t>
  </si>
  <si>
    <t>Dappled Grove 🪟⛅ 👁️</t>
  </si>
  <si>
    <t>Motostoke Outskirts 👁️</t>
  </si>
  <si>
    <t>Route 1 👁️</t>
  </si>
  <si>
    <t>Giant's Mirror 👁️</t>
  </si>
  <si>
    <t>Lake of Outrage 🔍</t>
  </si>
  <si>
    <t>Stony Wilderness 👁️</t>
  </si>
  <si>
    <t>Hammerlocke Hills 👁️</t>
  </si>
  <si>
    <t>Dusty Bowl 🪟☀️⛅☔ 👁️</t>
  </si>
  <si>
    <t>Route 7 👁️</t>
  </si>
  <si>
    <t>Route 3 👁️</t>
  </si>
  <si>
    <t>Giant's Cap 🪟⛅ 👁️</t>
  </si>
  <si>
    <t>Bridge Field 📍</t>
  </si>
  <si>
    <t>Dusty Bowl 🪟 🔍</t>
  </si>
  <si>
    <t>West Lake Axewell ⛅⚡ 👁️ (🛡️only)</t>
  </si>
  <si>
    <t>Dappled Grove 👁️ (🛡️only)</t>
  </si>
  <si>
    <t>Dappled Grove 📍 (🛡️only)</t>
  </si>
  <si>
    <t>Dappled Grove 📍 (🗡️only)</t>
  </si>
  <si>
    <t>Giant's Cap 👁️</t>
  </si>
  <si>
    <t>Giant's Cap ☔⚡ 👁️</t>
  </si>
  <si>
    <t>Motostoke Riverbank 👁️</t>
  </si>
  <si>
    <t>Route 7 👁️🔍</t>
  </si>
  <si>
    <t>Route 4 👁️</t>
  </si>
  <si>
    <t>North Lake Miloch 📍</t>
  </si>
  <si>
    <t>Rolling Fields 👁️🔍</t>
  </si>
  <si>
    <t>Giant's Cap ☀️🌪️ 👁️</t>
  </si>
  <si>
    <t>Giant's Cap 🪟⛅🌫️ 📍</t>
  </si>
  <si>
    <t>Stony Wilderness 📍</t>
  </si>
  <si>
    <t>Dappled Grove 🪟⛅☔⚡ 👁️</t>
  </si>
  <si>
    <t>Giant's Cap ⚡ 👁️</t>
  </si>
  <si>
    <t>Hammerlocke Hills 🪟☀️☔⚡ 📍</t>
  </si>
  <si>
    <t>Giant's Mirror 🪟☀️🌫️ 📍</t>
  </si>
  <si>
    <t>East Lake Axewell ⛅ 🔍</t>
  </si>
  <si>
    <t>Axew's Eye ⛅ 🔍</t>
  </si>
  <si>
    <t>Hammerlocke Hills ⛅🌫️ 📍</t>
  </si>
  <si>
    <t>East Lake Axewell 🌊</t>
  </si>
  <si>
    <t>Route 9 👁️🌊</t>
  </si>
  <si>
    <t>Giant's Mirror ⚡ 👁️🔍</t>
  </si>
  <si>
    <t>Giant's Seat ⚡ 🔍</t>
  </si>
  <si>
    <t>Dusty Bowl ☀️ 👁️</t>
  </si>
  <si>
    <t>Lake of Outrage ☀️ 👁️ (🗡️only)</t>
  </si>
  <si>
    <t>Lake of Outrage ☀️ (🛡️only)</t>
  </si>
  <si>
    <t>West Lake Axewell ❄️🌨️ 👁️</t>
  </si>
  <si>
    <t>Dappled Grove ❄️🌨️ 📍</t>
  </si>
  <si>
    <t>Bridge Field ❄️🌨️ 📍</t>
  </si>
  <si>
    <t>Rolling Fields ❄️🌨️ 🔍</t>
  </si>
  <si>
    <t>Dusty Bowl ❄️🌨️ 📍</t>
  </si>
  <si>
    <t>Dappled Grove ❄️🌨️ 👁️</t>
  </si>
  <si>
    <t>West Lake Axewell ❄️ 👁️</t>
  </si>
  <si>
    <t>Lake of Outrage ❄️ 👁️</t>
  </si>
  <si>
    <t>East Lake Axewell 🌪️ 👁️</t>
  </si>
  <si>
    <t>Bridge Field ☀️🌪️ 📍</t>
  </si>
  <si>
    <t>Giant's Seat ☀️ 👁️</t>
  </si>
  <si>
    <t>Axew's Eye 🌪️ 👁️</t>
  </si>
  <si>
    <t>West Lake Axewell ☀️🌪️ 👁️</t>
  </si>
  <si>
    <t>Giant's Seat 🌪️ 👁️</t>
  </si>
  <si>
    <t>Lake of Outrage 👁️</t>
  </si>
  <si>
    <t>East Lake Axewell 🌫️ 👁️</t>
  </si>
  <si>
    <t>Giant's Seat 🌫️ 📍</t>
  </si>
  <si>
    <t>East Lake Axewell 📍</t>
  </si>
  <si>
    <t>East Lake Axewel 👁️</t>
  </si>
  <si>
    <t>Axew's Eye 👁️</t>
  </si>
  <si>
    <t>Route 10 👁️</t>
  </si>
  <si>
    <t>South Lake Miloch ⛅☔⚡❄️ 👁️</t>
  </si>
  <si>
    <t>West Lake Axewell 📍</t>
  </si>
  <si>
    <t>West Lake Axewell 🪟☔⚡ 👁️</t>
  </si>
  <si>
    <t>West Lake Axewell 🪟☔⚡ 📍</t>
  </si>
  <si>
    <t>South Lake Miloch 🪟⚡ 👁️</t>
  </si>
  <si>
    <t>South Lake Miloch 🪟⚡ 📍</t>
  </si>
  <si>
    <t>South Lake Miloch 🌪️ 🔍</t>
  </si>
  <si>
    <t>Stony Wilderness 🪟☔ 👁️</t>
  </si>
  <si>
    <t>Rolling Fields ⛅ 👁️</t>
  </si>
  <si>
    <t>Rolling Fields 🪟⛅☔☀️ 📍</t>
  </si>
  <si>
    <t>North Lake Miloch ❄️ 👁️</t>
  </si>
  <si>
    <t>Hammerlocke Hills 🪟⛅☔❄️ 📍</t>
  </si>
  <si>
    <t>Lake of Outrage 🌨️ 👁️</t>
  </si>
  <si>
    <t>Rolling Fields 🪟 👁️</t>
  </si>
  <si>
    <t>Rolling Fields 🪟 📍</t>
  </si>
  <si>
    <t>Giant's Seat 🪟☔⚡🌪️ 👁️</t>
  </si>
  <si>
    <t>Dusty Bowl 📍</t>
  </si>
  <si>
    <t>Rolling Fields 🌫️ 👁️</t>
  </si>
  <si>
    <t>Rolling Fields 🌫️ 📍</t>
  </si>
  <si>
    <t>South Lake Miloch 🌊</t>
  </si>
  <si>
    <t>Axew's Eye 🌫️ 👁️</t>
  </si>
  <si>
    <t>Motostoke Riverbank 📍</t>
  </si>
  <si>
    <t>North Lake Miloch 🪟☀️🌪️🌫️ 👁️</t>
  </si>
  <si>
    <t>North Lake Miloch ☔☀️🌪️ 📍</t>
  </si>
  <si>
    <t>Dappled Grove ☔⚡ 👁️</t>
  </si>
  <si>
    <t>North Lake Miloch ☔⚡ 👁️</t>
  </si>
  <si>
    <t>Bridge Field ⛅☔⚡🌫️ 📍</t>
  </si>
  <si>
    <t>Watchtower Ruins ⛅☔⚡🌫️ 👁️</t>
  </si>
  <si>
    <t>Watchtower Ruins ⛅☔⚡🌫️ 📍</t>
  </si>
  <si>
    <t>South Lake Miloch ⛅☀️ 👁️</t>
  </si>
  <si>
    <t>Hammerlocke Hills ⛅☔🌪️ 👁️</t>
  </si>
  <si>
    <t>Giant's Mirror 📍</t>
  </si>
  <si>
    <t>Watchtower Ruins ⚡🌪️🌫️ 👁️</t>
  </si>
  <si>
    <t>Watchtower Ruins 📍</t>
  </si>
  <si>
    <t>Giants Cap 📍</t>
  </si>
  <si>
    <t>Route 2 🎣</t>
  </si>
  <si>
    <t>Bridge Field 🌊</t>
  </si>
  <si>
    <t>Bridge Field 🪟⛅☔🌪️ 🎣</t>
  </si>
  <si>
    <t>Bridge Field ☀️⛅🌪️ 🌊</t>
  </si>
  <si>
    <t>Lake of Outrage 🌫️ 🌊</t>
  </si>
  <si>
    <t>Motostoke Riverbank 🌊</t>
  </si>
  <si>
    <t>Giant's Cap 📍</t>
  </si>
  <si>
    <t>Giant's Mirror 🌪️ 👁️</t>
  </si>
  <si>
    <t>Dusty Bowl 🪟☀️ 📍</t>
  </si>
  <si>
    <t>Route 8 👁️</t>
  </si>
  <si>
    <t>Watchtower Ruins 👁️</t>
  </si>
  <si>
    <t>Rolling Fields 📍</t>
  </si>
  <si>
    <t>Giant's Seat 📍</t>
  </si>
  <si>
    <t>Route 4 👁️🔍</t>
  </si>
  <si>
    <t>Route 4 🔍</t>
  </si>
  <si>
    <t>Bridge Field 🪟⛅☀️🌫️ 👁️</t>
  </si>
  <si>
    <t>Bridge Field 🪟⛅☀️🌫️ 📍</t>
  </si>
  <si>
    <t>Hammerlocke Hills ⚡ 👁️</t>
  </si>
  <si>
    <t>Hammerlocke Hills 📍</t>
  </si>
  <si>
    <t>Rolling Fields ⚡ 📍</t>
  </si>
  <si>
    <t>Lake of Outrage ☔ 📍</t>
  </si>
  <si>
    <t>Lake of Outrage ⚡ 📍</t>
  </si>
  <si>
    <t>Lake of Outrage ☀️ 📍</t>
  </si>
  <si>
    <t>Lake of Outrage ⛅ 📍</t>
  </si>
  <si>
    <t>Lake of Outrage 🌪️ 📍</t>
  </si>
  <si>
    <t>Lake of Outrage 🪟 📍</t>
  </si>
  <si>
    <t>Lake of Outrage ❄️🌨️ 📍</t>
  </si>
  <si>
    <t>Lake of Outrage 🌫️ 📍</t>
  </si>
  <si>
    <t>Giant's Mirror ⚡ 🔍</t>
  </si>
  <si>
    <t>Route 5 🔍</t>
  </si>
  <si>
    <t>Dusty Bowl 🌫️ 🔍</t>
  </si>
  <si>
    <t>Route 5 👁️ (🗡️only)</t>
  </si>
  <si>
    <t>Route 5 👁️ (🛡️only)</t>
  </si>
  <si>
    <t>Stony Wilderness ☔⚡ 👁️</t>
  </si>
  <si>
    <t>Stony Wilderness ☔⚡ 📍</t>
  </si>
  <si>
    <t>Route 5 🪟⛅☔⚡ 👁️</t>
  </si>
  <si>
    <t>Dusty Bowl ⛅ (🛡️only)</t>
  </si>
  <si>
    <t>Dusty Bowl ⛅ (🗡️only)</t>
  </si>
  <si>
    <t>Dusty Bowl ☀️ 🔍</t>
  </si>
  <si>
    <t>Watchtower Ruins 🌪️ 👁️</t>
  </si>
  <si>
    <t>Galar Mine No. 2 🎣</t>
  </si>
  <si>
    <t>Dusty Bowl 🌊</t>
  </si>
  <si>
    <t>Route 9 👁️</t>
  </si>
  <si>
    <t>Giant's Mirror ☔ 👁️</t>
  </si>
  <si>
    <t>Bridge Field 🪟☔⚡ 📍</t>
  </si>
  <si>
    <t>Dusty Bowl ⛅☔⚡ 📍</t>
  </si>
  <si>
    <t>Stony Wilderness 🔍</t>
  </si>
  <si>
    <t>Glimwood Tangle 🔍</t>
  </si>
  <si>
    <t>Stony Wilderness 🌫️ 👁️</t>
  </si>
  <si>
    <t>Motostoke Riverbank ☀️ 👁️ (🛡️only)</t>
  </si>
  <si>
    <t>Giant's Mirror 🌨️ 👁️</t>
  </si>
  <si>
    <t>Stony Wilderness 🌪️ 👁️</t>
  </si>
  <si>
    <t>Motostoke Outskirts 🌫️ 👁️</t>
  </si>
  <si>
    <t>Motostoke Riverbank 🌫️ 📍</t>
  </si>
  <si>
    <t>Stony Wilderness ⛅ 🔍</t>
  </si>
  <si>
    <t>Giant's Cap 🌫️ 👁️ (🗡️only)</t>
  </si>
  <si>
    <t>Giant's Cap 🌫️ 👁️ (🛡️only)</t>
  </si>
  <si>
    <t>Route 7 🔍</t>
  </si>
  <si>
    <t>Motostoke Riverbank 🌫️ 👁️</t>
  </si>
  <si>
    <t>Lake of Outrage 🪟 👁️</t>
  </si>
  <si>
    <t>Route 10 🔍</t>
  </si>
  <si>
    <t>Route 8 👁️ (🗡️only)</t>
  </si>
  <si>
    <t>Dusty Bowl 👁️ (🗡️only)</t>
  </si>
  <si>
    <t>Route 8 👁️ (🛡️only)</t>
  </si>
  <si>
    <t>Dusty Bowl 👁️ (🛡️only)</t>
  </si>
  <si>
    <t>Motostoke Riverbank 🪟☔ 👁️</t>
  </si>
  <si>
    <t>Lake of Outrage ⛅ 👁️</t>
  </si>
  <si>
    <t>Bridge Field ☀️🌫️ 🔍</t>
  </si>
  <si>
    <t>Motostoke Riverbank ❄️🌨️ 👁️</t>
  </si>
  <si>
    <t>Bridge Field 🌨️ 📍</t>
  </si>
  <si>
    <t>Dusty Bowl 🌫️  👁️ (🛡️only)</t>
  </si>
  <si>
    <t>Dusty Bowl 🌨️  👁️ (🗡️only)</t>
  </si>
  <si>
    <t>Stony Wilderness ☀️ 👁️</t>
  </si>
  <si>
    <t>Stony Wilderness 🪟 👁️</t>
  </si>
  <si>
    <t>North Lake Miloch 🪟 📍</t>
  </si>
  <si>
    <t>West Lake Axewell 🪟☔ 🌊</t>
  </si>
  <si>
    <t>Axew's Eye 📍</t>
  </si>
  <si>
    <t>Route 6 🔍</t>
  </si>
  <si>
    <t>Dusty Bowl ☀️🌪️ 👁️</t>
  </si>
  <si>
    <t>Lake of Outrage 🌪️ 🔍</t>
  </si>
  <si>
    <t>Giant's Mirror ☀️ 👁️</t>
  </si>
  <si>
    <t>Route 6 👁️</t>
  </si>
  <si>
    <t>Dusty Bowl 🪟🌪️ 📍</t>
  </si>
  <si>
    <t>Axew's Eye 🪟⛅☔🌫️ 👁️</t>
  </si>
  <si>
    <t>Hammerlocke Hills 🌫️ 👁️</t>
  </si>
  <si>
    <t>Giant's Cap 🌫️  📍</t>
  </si>
  <si>
    <t>Lake of Outrage ⛅☔⚡ 📍</t>
  </si>
  <si>
    <t>Lake of Outrage 📍</t>
  </si>
  <si>
    <t>Lake of Outrage 🌊</t>
  </si>
  <si>
    <t>Route 9 🌊</t>
  </si>
  <si>
    <t>Giant's Cap 👁️ (🛡️only)</t>
  </si>
  <si>
    <t>Giant's Cap 👁️ (🗡️only)</t>
  </si>
  <si>
    <t>Rolling Fields 🌨️ 📍</t>
  </si>
  <si>
    <t>Dusty Bowl 🪟❄️🌨️🌪️ 📍 (🛡️only)</t>
  </si>
  <si>
    <t>Dusty Bowl 🪟☀️❄️🌪️ 📍 (🗡️only)</t>
  </si>
  <si>
    <r>
      <t xml:space="preserve">Lake of Outrage ⚡🌫️ 👁️ </t>
    </r>
    <r>
      <rPr>
        <b/>
        <sz val="12"/>
        <color theme="1"/>
        <rFont val="Calibri"/>
        <family val="2"/>
        <scheme val="minor"/>
      </rPr>
      <t>2%</t>
    </r>
  </si>
  <si>
    <r>
      <t xml:space="preserve">Lake of Outrage ⚡🌫️ 🔍 </t>
    </r>
    <r>
      <rPr>
        <b/>
        <sz val="12"/>
        <color theme="1"/>
        <rFont val="Calibri"/>
        <family val="2"/>
        <scheme val="minor"/>
      </rPr>
      <t>2%</t>
    </r>
  </si>
  <si>
    <r>
      <t xml:space="preserve">Lake of Outrage ⚡ 🔍 </t>
    </r>
    <r>
      <rPr>
        <b/>
        <sz val="12"/>
        <color theme="1"/>
        <rFont val="Calibri"/>
        <family val="2"/>
        <scheme val="minor"/>
      </rPr>
      <t>2%</t>
    </r>
    <r>
      <rPr>
        <sz val="12"/>
        <color theme="1"/>
        <rFont val="Calibri"/>
        <family val="2"/>
        <scheme val="minor"/>
      </rPr>
      <t xml:space="preserve"> (🗡️only)</t>
    </r>
  </si>
  <si>
    <r>
      <t xml:space="preserve">Dappled Grove 👁️ </t>
    </r>
    <r>
      <rPr>
        <b/>
        <sz val="12"/>
        <color theme="1"/>
        <rFont val="Calibri"/>
        <family val="2"/>
        <scheme val="minor"/>
      </rPr>
      <t>5%</t>
    </r>
    <r>
      <rPr>
        <sz val="12"/>
        <color theme="1"/>
        <rFont val="Calibri"/>
        <family val="2"/>
        <scheme val="minor"/>
      </rPr>
      <t xml:space="preserve"> (🗡️only)</t>
    </r>
  </si>
  <si>
    <r>
      <t xml:space="preserve">Route 5 👁️ </t>
    </r>
    <r>
      <rPr>
        <b/>
        <sz val="12"/>
        <color theme="1"/>
        <rFont val="Calibri"/>
        <family val="2"/>
        <scheme val="minor"/>
      </rPr>
      <t>15%</t>
    </r>
  </si>
  <si>
    <r>
      <t xml:space="preserve">Axew's Eye 🪟 🔍 </t>
    </r>
    <r>
      <rPr>
        <b/>
        <sz val="12"/>
        <color theme="1"/>
        <rFont val="Calibri"/>
        <family val="2"/>
        <scheme val="minor"/>
      </rPr>
      <t>10%</t>
    </r>
  </si>
  <si>
    <r>
      <t xml:space="preserve">Dusty Bowl ⛅ 👁️ </t>
    </r>
    <r>
      <rPr>
        <b/>
        <sz val="12"/>
        <color theme="1"/>
        <rFont val="Calibri"/>
        <family val="2"/>
        <scheme val="minor"/>
      </rPr>
      <t>5%</t>
    </r>
    <r>
      <rPr>
        <sz val="12"/>
        <color theme="1"/>
        <rFont val="Calibri"/>
        <family val="2"/>
        <scheme val="minor"/>
      </rPr>
      <t xml:space="preserve"> (🗡️only)</t>
    </r>
  </si>
  <si>
    <r>
      <t xml:space="preserve">Dusty Bowl ⛅ 👁️ </t>
    </r>
    <r>
      <rPr>
        <b/>
        <sz val="12"/>
        <color theme="1"/>
        <rFont val="Calibri"/>
        <family val="2"/>
        <scheme val="minor"/>
      </rPr>
      <t>5%</t>
    </r>
    <r>
      <rPr>
        <sz val="12"/>
        <color theme="1"/>
        <rFont val="Calibri"/>
        <family val="2"/>
        <scheme val="minor"/>
      </rPr>
      <t xml:space="preserve"> (🛡️only)</t>
    </r>
  </si>
  <si>
    <r>
      <t xml:space="preserve">Lake of Outrage ⛅ 👁️ </t>
    </r>
    <r>
      <rPr>
        <b/>
        <sz val="12"/>
        <color theme="1"/>
        <rFont val="Calibri"/>
        <family val="2"/>
        <scheme val="minor"/>
      </rPr>
      <t>2%</t>
    </r>
  </si>
  <si>
    <r>
      <t xml:space="preserve">Giant's Seat 🎣 </t>
    </r>
    <r>
      <rPr>
        <b/>
        <sz val="12"/>
        <color theme="1"/>
        <rFont val="Calibri"/>
        <family val="2"/>
        <scheme val="minor"/>
      </rPr>
      <t>5%</t>
    </r>
  </si>
  <si>
    <r>
      <t xml:space="preserve">Route 2 🎣 </t>
    </r>
    <r>
      <rPr>
        <b/>
        <sz val="12"/>
        <color theme="1"/>
        <rFont val="Calibri"/>
        <family val="2"/>
        <scheme val="minor"/>
      </rPr>
      <t>1%</t>
    </r>
  </si>
  <si>
    <r>
      <t xml:space="preserve">Route 3 👁️ </t>
    </r>
    <r>
      <rPr>
        <b/>
        <sz val="12"/>
        <color theme="1"/>
        <rFont val="Calibri"/>
        <family val="2"/>
        <scheme val="minor"/>
      </rPr>
      <t>5%</t>
    </r>
  </si>
  <si>
    <r>
      <t xml:space="preserve">Route 3 🔍 </t>
    </r>
    <r>
      <rPr>
        <b/>
        <sz val="12"/>
        <color theme="1"/>
        <rFont val="Calibri"/>
        <family val="2"/>
        <scheme val="minor"/>
      </rPr>
      <t>1%</t>
    </r>
  </si>
  <si>
    <r>
      <t xml:space="preserve">Rolling Fields 👁️ </t>
    </r>
    <r>
      <rPr>
        <b/>
        <sz val="12"/>
        <color theme="1"/>
        <rFont val="Calibri"/>
        <family val="2"/>
        <scheme val="minor"/>
      </rPr>
      <t>10%</t>
    </r>
  </si>
  <si>
    <r>
      <t>Galar Mine 👁️ 🗡️</t>
    </r>
    <r>
      <rPr>
        <b/>
        <sz val="12"/>
        <color theme="1"/>
        <rFont val="Calibri"/>
        <family val="2"/>
        <scheme val="minor"/>
      </rPr>
      <t>25%</t>
    </r>
    <r>
      <rPr>
        <sz val="12"/>
        <color theme="1"/>
        <rFont val="Calibri"/>
        <family val="2"/>
        <scheme val="minor"/>
      </rPr>
      <t xml:space="preserve"> 🛡️</t>
    </r>
    <r>
      <rPr>
        <b/>
        <sz val="12"/>
        <color theme="1"/>
        <rFont val="Calibri"/>
        <family val="2"/>
        <scheme val="minor"/>
      </rPr>
      <t>5%</t>
    </r>
  </si>
  <si>
    <r>
      <t xml:space="preserve">Motostoke Riverbank 🌨️ 🔍 </t>
    </r>
    <r>
      <rPr>
        <b/>
        <sz val="12"/>
        <color theme="1"/>
        <rFont val="Calibri"/>
        <family val="2"/>
        <scheme val="minor"/>
      </rPr>
      <t>10%</t>
    </r>
  </si>
  <si>
    <r>
      <t xml:space="preserve">Dusty Bowl 🌨️ 🔍 </t>
    </r>
    <r>
      <rPr>
        <b/>
        <sz val="12"/>
        <color theme="1"/>
        <rFont val="Calibri"/>
        <family val="2"/>
        <scheme val="minor"/>
      </rPr>
      <t>10%</t>
    </r>
  </si>
  <si>
    <r>
      <t>Route 4 👁️ 🗡️</t>
    </r>
    <r>
      <rPr>
        <b/>
        <sz val="12"/>
        <color theme="1"/>
        <rFont val="Calibri"/>
        <family val="2"/>
        <scheme val="minor"/>
      </rPr>
      <t>1%</t>
    </r>
    <r>
      <rPr>
        <sz val="12"/>
        <color theme="1"/>
        <rFont val="Calibri"/>
        <family val="2"/>
        <scheme val="minor"/>
      </rPr>
      <t xml:space="preserve"> 🛡️</t>
    </r>
    <r>
      <rPr>
        <b/>
        <sz val="12"/>
        <color theme="1"/>
        <rFont val="Calibri"/>
        <family val="2"/>
        <scheme val="minor"/>
      </rPr>
      <t>5%</t>
    </r>
  </si>
  <si>
    <r>
      <t xml:space="preserve">Route 5 👁️ </t>
    </r>
    <r>
      <rPr>
        <b/>
        <sz val="12"/>
        <color theme="1"/>
        <rFont val="Calibri"/>
        <family val="2"/>
        <scheme val="minor"/>
      </rPr>
      <t>5%</t>
    </r>
    <r>
      <rPr>
        <sz val="12"/>
        <color theme="1"/>
        <rFont val="Calibri"/>
        <family val="2"/>
        <scheme val="minor"/>
      </rPr>
      <t xml:space="preserve"> (🗡️only)</t>
    </r>
  </si>
  <si>
    <r>
      <t xml:space="preserve">Galar Mine No. 2 👁️ </t>
    </r>
    <r>
      <rPr>
        <b/>
        <sz val="12"/>
        <color theme="1"/>
        <rFont val="Calibri"/>
        <family val="2"/>
        <scheme val="minor"/>
      </rPr>
      <t>15%</t>
    </r>
  </si>
  <si>
    <r>
      <t xml:space="preserve">Giant's Mirror ⛅ 👁️ </t>
    </r>
    <r>
      <rPr>
        <b/>
        <sz val="12"/>
        <color theme="1"/>
        <rFont val="Calibri"/>
        <family val="2"/>
        <scheme val="minor"/>
      </rPr>
      <t>5%</t>
    </r>
    <r>
      <rPr>
        <sz val="12"/>
        <color theme="1"/>
        <rFont val="Calibri"/>
        <family val="2"/>
        <scheme val="minor"/>
      </rPr>
      <t xml:space="preserve"> (🛡️only)</t>
    </r>
  </si>
  <si>
    <r>
      <t>Giant's Mirror ⛅ 👁️</t>
    </r>
    <r>
      <rPr>
        <b/>
        <sz val="12"/>
        <color theme="1"/>
        <rFont val="Calibri"/>
        <family val="2"/>
        <scheme val="minor"/>
      </rPr>
      <t xml:space="preserve"> 10%</t>
    </r>
    <r>
      <rPr>
        <sz val="12"/>
        <color theme="1"/>
        <rFont val="Calibri"/>
        <family val="2"/>
        <scheme val="minor"/>
      </rPr>
      <t xml:space="preserve"> (🛡️only)</t>
    </r>
  </si>
  <si>
    <r>
      <t xml:space="preserve">Giant's Mirror ⛅ 👁️ </t>
    </r>
    <r>
      <rPr>
        <b/>
        <sz val="12"/>
        <color theme="1"/>
        <rFont val="Calibri"/>
        <family val="2"/>
        <scheme val="minor"/>
      </rPr>
      <t>10%</t>
    </r>
    <r>
      <rPr>
        <sz val="12"/>
        <color theme="1"/>
        <rFont val="Calibri"/>
        <family val="2"/>
        <scheme val="minor"/>
      </rPr>
      <t xml:space="preserve"> (🗡️only)</t>
    </r>
  </si>
  <si>
    <r>
      <t xml:space="preserve">Bridge Field 🌫️ 🔍 </t>
    </r>
    <r>
      <rPr>
        <b/>
        <sz val="12"/>
        <color theme="1"/>
        <rFont val="Calibri"/>
        <family val="2"/>
        <scheme val="minor"/>
      </rPr>
      <t>5%</t>
    </r>
  </si>
  <si>
    <r>
      <t xml:space="preserve">Stony Wilderness 🌫️ 🔍 </t>
    </r>
    <r>
      <rPr>
        <b/>
        <sz val="12"/>
        <color theme="1"/>
        <rFont val="Calibri"/>
        <family val="2"/>
        <scheme val="minor"/>
      </rPr>
      <t>10%</t>
    </r>
  </si>
  <si>
    <r>
      <t xml:space="preserve">Dusty Bowl 🌫️ 👁️ </t>
    </r>
    <r>
      <rPr>
        <b/>
        <sz val="12"/>
        <color theme="1"/>
        <rFont val="Calibri"/>
        <family val="2"/>
        <scheme val="minor"/>
      </rPr>
      <t>2%</t>
    </r>
  </si>
  <si>
    <r>
      <t xml:space="preserve">Motostoke Riverbank 🪟 👁️ </t>
    </r>
    <r>
      <rPr>
        <b/>
        <sz val="12"/>
        <color theme="1"/>
        <rFont val="Calibri"/>
        <family val="2"/>
        <scheme val="minor"/>
      </rPr>
      <t>5%</t>
    </r>
  </si>
  <si>
    <r>
      <t xml:space="preserve">Lake of Outrage 🌫️ 👁️ </t>
    </r>
    <r>
      <rPr>
        <b/>
        <sz val="12"/>
        <color theme="1"/>
        <rFont val="Calibri"/>
        <family val="2"/>
        <scheme val="minor"/>
      </rPr>
      <t>13%</t>
    </r>
    <r>
      <rPr>
        <sz val="12"/>
        <color theme="1"/>
        <rFont val="Calibri"/>
        <family val="2"/>
        <scheme val="minor"/>
      </rPr>
      <t xml:space="preserve"> (🗡️only)</t>
    </r>
  </si>
  <si>
    <r>
      <t xml:space="preserve">Dusty Bowl 🌫️ 👁️ </t>
    </r>
    <r>
      <rPr>
        <b/>
        <sz val="12"/>
        <color theme="1"/>
        <rFont val="Calibri"/>
        <family val="2"/>
        <scheme val="minor"/>
      </rPr>
      <t>10%</t>
    </r>
    <r>
      <rPr>
        <sz val="12"/>
        <color theme="1"/>
        <rFont val="Calibri"/>
        <family val="2"/>
        <scheme val="minor"/>
      </rPr>
      <t xml:space="preserve"> (🛡️only)</t>
    </r>
  </si>
  <si>
    <r>
      <t xml:space="preserve">Lake of Outrage 🌫️ 👁️ </t>
    </r>
    <r>
      <rPr>
        <b/>
        <sz val="12"/>
        <color theme="1"/>
        <rFont val="Calibri"/>
        <family val="2"/>
        <scheme val="minor"/>
      </rPr>
      <t>13%</t>
    </r>
    <r>
      <rPr>
        <sz val="12"/>
        <color theme="1"/>
        <rFont val="Calibri"/>
        <family val="2"/>
        <scheme val="minor"/>
      </rPr>
      <t xml:space="preserve"> (🛡️only)</t>
    </r>
  </si>
  <si>
    <r>
      <t xml:space="preserve">Motostoke Riverbank ☔ 🔍 </t>
    </r>
    <r>
      <rPr>
        <b/>
        <sz val="12"/>
        <color theme="1"/>
        <rFont val="Calibri"/>
        <family val="2"/>
        <scheme val="minor"/>
      </rPr>
      <t>10%</t>
    </r>
  </si>
  <si>
    <r>
      <t xml:space="preserve">Lake of Outrage ☀️ 👁️ </t>
    </r>
    <r>
      <rPr>
        <b/>
        <sz val="12"/>
        <color theme="1"/>
        <rFont val="Calibri"/>
        <family val="2"/>
        <scheme val="minor"/>
      </rPr>
      <t>14%</t>
    </r>
  </si>
  <si>
    <r>
      <t xml:space="preserve">Giant's Cap 🌨️ 👁️ </t>
    </r>
    <r>
      <rPr>
        <b/>
        <sz val="12"/>
        <color theme="1"/>
        <rFont val="Calibri"/>
        <family val="2"/>
        <scheme val="minor"/>
      </rPr>
      <t>5%</t>
    </r>
  </si>
  <si>
    <r>
      <t xml:space="preserve">Motostoke Riverbank ☀️ 👁️ </t>
    </r>
    <r>
      <rPr>
        <b/>
        <sz val="12"/>
        <color theme="1"/>
        <rFont val="Calibri"/>
        <family val="2"/>
        <scheme val="minor"/>
      </rPr>
      <t>10%</t>
    </r>
  </si>
  <si>
    <r>
      <t xml:space="preserve">Bridge Field 🌫️ 📍 </t>
    </r>
    <r>
      <rPr>
        <b/>
        <sz val="12"/>
        <color theme="1"/>
        <rFont val="Calibri"/>
        <family val="2"/>
        <scheme val="minor"/>
      </rPr>
      <t>3%</t>
    </r>
  </si>
  <si>
    <r>
      <t xml:space="preserve">Bridge Field 🌨️ 👁️ </t>
    </r>
    <r>
      <rPr>
        <b/>
        <sz val="12"/>
        <color theme="1"/>
        <rFont val="Calibri"/>
        <family val="2"/>
        <scheme val="minor"/>
      </rPr>
      <t>10%</t>
    </r>
  </si>
  <si>
    <r>
      <t xml:space="preserve">Route 9 👁️🌊 </t>
    </r>
    <r>
      <rPr>
        <b/>
        <sz val="12"/>
        <color theme="1"/>
        <rFont val="Calibri"/>
        <family val="2"/>
        <scheme val="minor"/>
      </rPr>
      <t>5%</t>
    </r>
  </si>
  <si>
    <r>
      <t xml:space="preserve">Bridge Field ☔ 👁️ </t>
    </r>
    <r>
      <rPr>
        <b/>
        <sz val="12"/>
        <color theme="1"/>
        <rFont val="Calibri"/>
        <family val="2"/>
        <scheme val="minor"/>
      </rPr>
      <t>15%</t>
    </r>
  </si>
  <si>
    <r>
      <t xml:space="preserve">Giant's Mirror ☀️ 👁️ </t>
    </r>
    <r>
      <rPr>
        <b/>
        <sz val="12"/>
        <color theme="1"/>
        <rFont val="Calibri"/>
        <family val="2"/>
        <scheme val="minor"/>
      </rPr>
      <t>5%</t>
    </r>
  </si>
  <si>
    <r>
      <t xml:space="preserve">Glimwood Tangle 🔍 </t>
    </r>
    <r>
      <rPr>
        <b/>
        <sz val="12"/>
        <color theme="1"/>
        <rFont val="Calibri"/>
        <family val="2"/>
        <scheme val="minor"/>
      </rPr>
      <t>10%</t>
    </r>
    <r>
      <rPr>
        <sz val="12"/>
        <color theme="1"/>
        <rFont val="Calibri"/>
        <family val="2"/>
        <scheme val="minor"/>
      </rPr>
      <t xml:space="preserve"> (🛡️only)</t>
    </r>
  </si>
  <si>
    <r>
      <t>Route 6 👁️ 🗡️</t>
    </r>
    <r>
      <rPr>
        <b/>
        <sz val="12"/>
        <color theme="1"/>
        <rFont val="Calibri"/>
        <family val="2"/>
        <scheme val="minor"/>
      </rPr>
      <t>1%</t>
    </r>
    <r>
      <rPr>
        <sz val="12"/>
        <color theme="1"/>
        <rFont val="Calibri"/>
        <family val="2"/>
        <scheme val="minor"/>
      </rPr>
      <t xml:space="preserve"> 🛡️</t>
    </r>
    <r>
      <rPr>
        <b/>
        <sz val="12"/>
        <color theme="1"/>
        <rFont val="Calibri"/>
        <family val="2"/>
        <scheme val="minor"/>
      </rPr>
      <t>5%</t>
    </r>
  </si>
  <si>
    <r>
      <t xml:space="preserve">Lake of Outrage 🌫️ </t>
    </r>
    <r>
      <rPr>
        <b/>
        <sz val="12"/>
        <color theme="1"/>
        <rFont val="Calibri"/>
        <family val="2"/>
        <scheme val="minor"/>
      </rPr>
      <t>14%</t>
    </r>
  </si>
  <si>
    <r>
      <t xml:space="preserve">Glimwood Tangle 🔍 </t>
    </r>
    <r>
      <rPr>
        <b/>
        <sz val="12"/>
        <color theme="1"/>
        <rFont val="Calibri"/>
        <family val="2"/>
        <scheme val="minor"/>
      </rPr>
      <t>10%</t>
    </r>
  </si>
  <si>
    <r>
      <t xml:space="preserve">Glimwood Tangle 🔍 </t>
    </r>
    <r>
      <rPr>
        <b/>
        <sz val="12"/>
        <color theme="1"/>
        <rFont val="Calibri"/>
        <family val="2"/>
        <scheme val="minor"/>
      </rPr>
      <t>4%</t>
    </r>
    <r>
      <rPr>
        <sz val="12"/>
        <color theme="1"/>
        <rFont val="Calibri"/>
        <family val="2"/>
        <scheme val="minor"/>
      </rPr>
      <t xml:space="preserve"> (🛡️only)</t>
    </r>
  </si>
  <si>
    <r>
      <t xml:space="preserve">Glimwood Tangle 🔍 </t>
    </r>
    <r>
      <rPr>
        <b/>
        <sz val="12"/>
        <color theme="1"/>
        <rFont val="Calibri"/>
        <family val="2"/>
        <scheme val="minor"/>
      </rPr>
      <t>4%</t>
    </r>
    <r>
      <rPr>
        <sz val="12"/>
        <color theme="1"/>
        <rFont val="Calibri"/>
        <family val="2"/>
        <scheme val="minor"/>
      </rPr>
      <t xml:space="preserve"> (🗡️only)</t>
    </r>
  </si>
  <si>
    <r>
      <t xml:space="preserve">Route 7 👁️ </t>
    </r>
    <r>
      <rPr>
        <b/>
        <sz val="12"/>
        <color theme="1"/>
        <rFont val="Calibri"/>
        <family val="2"/>
        <scheme val="minor"/>
      </rPr>
      <t>5%</t>
    </r>
  </si>
  <si>
    <r>
      <t xml:space="preserve">Lake of Outrage ⚡ 🔍 </t>
    </r>
    <r>
      <rPr>
        <b/>
        <sz val="12"/>
        <color theme="1"/>
        <rFont val="Calibri"/>
        <family val="2"/>
        <scheme val="minor"/>
      </rPr>
      <t>2%</t>
    </r>
    <r>
      <rPr>
        <sz val="12"/>
        <color theme="1"/>
        <rFont val="Calibri"/>
        <family val="2"/>
        <scheme val="minor"/>
      </rPr>
      <t xml:space="preserve"> (🛡️only)</t>
    </r>
  </si>
  <si>
    <r>
      <t xml:space="preserve">Lake of Outrage ☀️ 🔍 </t>
    </r>
    <r>
      <rPr>
        <b/>
        <sz val="12"/>
        <color theme="1"/>
        <rFont val="Calibri"/>
        <family val="2"/>
        <scheme val="minor"/>
      </rPr>
      <t>2%</t>
    </r>
    <r>
      <rPr>
        <sz val="12"/>
        <color theme="1"/>
        <rFont val="Calibri"/>
        <family val="2"/>
        <scheme val="minor"/>
      </rPr>
      <t xml:space="preserve"> (🗡️only)</t>
    </r>
  </si>
  <si>
    <r>
      <t xml:space="preserve">Lake of Outrage 🌨️ </t>
    </r>
    <r>
      <rPr>
        <b/>
        <sz val="12"/>
        <color theme="1"/>
        <rFont val="Calibri"/>
        <family val="2"/>
        <scheme val="minor"/>
      </rPr>
      <t>13%</t>
    </r>
  </si>
  <si>
    <r>
      <t xml:space="preserve">Route 8 👁️ </t>
    </r>
    <r>
      <rPr>
        <b/>
        <sz val="12"/>
        <color theme="1"/>
        <rFont val="Calibri"/>
        <family val="2"/>
        <scheme val="minor"/>
      </rPr>
      <t>5%</t>
    </r>
  </si>
  <si>
    <r>
      <t xml:space="preserve">Route 9 🔍 </t>
    </r>
    <r>
      <rPr>
        <b/>
        <sz val="12"/>
        <color theme="1"/>
        <rFont val="Calibri"/>
        <family val="2"/>
        <scheme val="minor"/>
      </rPr>
      <t>5%</t>
    </r>
  </si>
  <si>
    <r>
      <t xml:space="preserve">Route 9 🎣 </t>
    </r>
    <r>
      <rPr>
        <b/>
        <sz val="12"/>
        <color theme="1"/>
        <rFont val="Calibri"/>
        <family val="2"/>
        <scheme val="minor"/>
      </rPr>
      <t>5%</t>
    </r>
  </si>
  <si>
    <r>
      <t xml:space="preserve">Route 9 👁️ </t>
    </r>
    <r>
      <rPr>
        <b/>
        <sz val="12"/>
        <color theme="1"/>
        <rFont val="Calibri"/>
        <family val="2"/>
        <scheme val="minor"/>
      </rPr>
      <t>1%</t>
    </r>
  </si>
  <si>
    <r>
      <t xml:space="preserve">Route 10 🔍 </t>
    </r>
    <r>
      <rPr>
        <b/>
        <sz val="12"/>
        <color theme="1"/>
        <rFont val="Calibri"/>
        <family val="2"/>
        <scheme val="minor"/>
      </rPr>
      <t>5%</t>
    </r>
    <r>
      <rPr>
        <sz val="12"/>
        <color theme="1"/>
        <rFont val="Calibri"/>
        <family val="2"/>
        <scheme val="minor"/>
      </rPr>
      <t xml:space="preserve"> (🗡️only)</t>
    </r>
  </si>
  <si>
    <r>
      <t xml:space="preserve">Lake of Outrage 🌪️ 🔍 </t>
    </r>
    <r>
      <rPr>
        <b/>
        <sz val="12"/>
        <color theme="1"/>
        <rFont val="Calibri"/>
        <family val="2"/>
        <scheme val="minor"/>
      </rPr>
      <t>5%</t>
    </r>
    <r>
      <rPr>
        <sz val="12"/>
        <color theme="1"/>
        <rFont val="Calibri"/>
        <family val="2"/>
        <scheme val="minor"/>
      </rPr>
      <t xml:space="preserve"> (🗡️only)</t>
    </r>
  </si>
  <si>
    <r>
      <t>Lake of Outrage 🌨️ 🔍</t>
    </r>
    <r>
      <rPr>
        <b/>
        <sz val="12"/>
        <color theme="1"/>
        <rFont val="Calibri"/>
        <family val="2"/>
        <scheme val="minor"/>
      </rPr>
      <t xml:space="preserve"> 5%</t>
    </r>
    <r>
      <rPr>
        <sz val="12"/>
        <color theme="1"/>
        <rFont val="Calibri"/>
        <family val="2"/>
        <scheme val="minor"/>
      </rPr>
      <t xml:space="preserve"> (🛡️only)</t>
    </r>
  </si>
  <si>
    <r>
      <t xml:space="preserve">Lake of Outrage ☔⚡  👁️ </t>
    </r>
    <r>
      <rPr>
        <b/>
        <sz val="12"/>
        <color theme="1"/>
        <rFont val="Calibri"/>
        <family val="2"/>
        <scheme val="minor"/>
      </rPr>
      <t>2%</t>
    </r>
  </si>
  <si>
    <r>
      <t xml:space="preserve">Lake of Outrage 👁️ </t>
    </r>
    <r>
      <rPr>
        <b/>
        <sz val="12"/>
        <color theme="1"/>
        <rFont val="Calibri"/>
        <family val="2"/>
        <scheme val="minor"/>
      </rPr>
      <t>10%</t>
    </r>
  </si>
  <si>
    <r>
      <t xml:space="preserve">Lake of Outrage ⛅☀️ 🔍 </t>
    </r>
    <r>
      <rPr>
        <b/>
        <sz val="12"/>
        <color theme="1"/>
        <rFont val="Calibri"/>
        <family val="2"/>
        <scheme val="minor"/>
      </rPr>
      <t>5%</t>
    </r>
    <r>
      <rPr>
        <sz val="12"/>
        <color theme="1"/>
        <rFont val="Calibri"/>
        <family val="2"/>
        <scheme val="minor"/>
      </rPr>
      <t xml:space="preserve"> (🛡️only)</t>
    </r>
  </si>
  <si>
    <r>
      <t xml:space="preserve">Lake of Outrage 🌪️ 👁️ </t>
    </r>
    <r>
      <rPr>
        <b/>
        <sz val="12"/>
        <color theme="1"/>
        <rFont val="Calibri"/>
        <family val="2"/>
        <scheme val="minor"/>
      </rPr>
      <t>2%</t>
    </r>
    <r>
      <rPr>
        <sz val="12"/>
        <color theme="1"/>
        <rFont val="Calibri"/>
        <family val="2"/>
        <scheme val="minor"/>
      </rPr>
      <t xml:space="preserve"> (🛡️only)</t>
    </r>
  </si>
  <si>
    <r>
      <t xml:space="preserve">Lake of Outrage ☔ </t>
    </r>
    <r>
      <rPr>
        <b/>
        <sz val="12"/>
        <color theme="1"/>
        <rFont val="Calibri"/>
        <family val="2"/>
        <scheme val="minor"/>
      </rPr>
      <t>2%</t>
    </r>
    <r>
      <rPr>
        <sz val="12"/>
        <color theme="1"/>
        <rFont val="Calibri"/>
        <family val="2"/>
        <scheme val="minor"/>
      </rPr>
      <t xml:space="preserve"> (🗡️only)</t>
    </r>
  </si>
  <si>
    <r>
      <t xml:space="preserve">Lake of Outrage 🌪️ 👁️ </t>
    </r>
    <r>
      <rPr>
        <b/>
        <sz val="12"/>
        <color theme="1"/>
        <rFont val="Calibri"/>
        <family val="2"/>
        <scheme val="minor"/>
      </rPr>
      <t>2%</t>
    </r>
    <r>
      <rPr>
        <sz val="12"/>
        <color theme="1"/>
        <rFont val="Calibri"/>
        <family val="2"/>
        <scheme val="minor"/>
      </rPr>
      <t xml:space="preserve"> (🗡️only)</t>
    </r>
  </si>
  <si>
    <r>
      <t xml:space="preserve">Lake of Outrage ☔ 🔍 </t>
    </r>
    <r>
      <rPr>
        <b/>
        <sz val="12"/>
        <color theme="1"/>
        <rFont val="Calibri"/>
        <family val="2"/>
        <scheme val="minor"/>
      </rPr>
      <t>2%</t>
    </r>
    <r>
      <rPr>
        <sz val="12"/>
        <color theme="1"/>
        <rFont val="Calibri"/>
        <family val="2"/>
        <scheme val="minor"/>
      </rPr>
      <t xml:space="preserve"> (🛡️only)</t>
    </r>
  </si>
  <si>
    <r>
      <t>Lake of Outrage ⚡ 🔍</t>
    </r>
    <r>
      <rPr>
        <b/>
        <sz val="12"/>
        <color theme="1"/>
        <rFont val="Calibri"/>
        <family val="2"/>
        <scheme val="minor"/>
      </rPr>
      <t xml:space="preserve"> 2%</t>
    </r>
    <r>
      <rPr>
        <sz val="12"/>
        <color theme="1"/>
        <rFont val="Calibri"/>
        <family val="2"/>
        <scheme val="minor"/>
      </rPr>
      <t xml:space="preserve"> (🛡️only)</t>
    </r>
  </si>
  <si>
    <r>
      <t xml:space="preserve">Lake of Outrage ⛅☀️ 🔍 </t>
    </r>
    <r>
      <rPr>
        <b/>
        <sz val="12"/>
        <color theme="1"/>
        <rFont val="Calibri"/>
        <family val="2"/>
        <scheme val="minor"/>
      </rPr>
      <t>5%</t>
    </r>
    <r>
      <rPr>
        <sz val="12"/>
        <color theme="1"/>
        <rFont val="Calibri"/>
        <family val="2"/>
        <scheme val="minor"/>
      </rPr>
      <t xml:space="preserve"> (🗡️only)</t>
    </r>
  </si>
  <si>
    <r>
      <t>Glimwood Tangle🛡️</t>
    </r>
    <r>
      <rPr>
        <b/>
        <sz val="12"/>
        <color theme="1"/>
        <rFont val="Calibri"/>
        <family val="2"/>
        <scheme val="minor"/>
      </rPr>
      <t>10%</t>
    </r>
    <r>
      <rPr>
        <sz val="12"/>
        <color theme="1"/>
        <rFont val="Calibri"/>
        <family val="2"/>
        <scheme val="minor"/>
      </rPr>
      <t xml:space="preserve"> 🗡️</t>
    </r>
    <r>
      <rPr>
        <b/>
        <sz val="12"/>
        <color theme="1"/>
        <rFont val="Calibri"/>
        <family val="2"/>
        <scheme val="minor"/>
      </rPr>
      <t>1%</t>
    </r>
  </si>
  <si>
    <t>BDSP</t>
  </si>
  <si>
    <t>NAT #</t>
  </si>
  <si>
    <t>263g</t>
  </si>
  <si>
    <t>264g</t>
  </si>
  <si>
    <t>031g</t>
  </si>
  <si>
    <t>032g</t>
  </si>
  <si>
    <t>52g</t>
  </si>
  <si>
    <t>83g</t>
  </si>
  <si>
    <t>Galarian Farfetch'd</t>
  </si>
  <si>
    <t>218g</t>
  </si>
  <si>
    <t>618g</t>
  </si>
  <si>
    <t>226g</t>
  </si>
  <si>
    <t>236g</t>
  </si>
  <si>
    <t>251g</t>
  </si>
  <si>
    <t>110g</t>
  </si>
  <si>
    <t>77g</t>
  </si>
  <si>
    <t>333g</t>
  </si>
  <si>
    <t>78g</t>
  </si>
  <si>
    <t>334g</t>
  </si>
  <si>
    <t>122g</t>
  </si>
  <si>
    <t>365g</t>
  </si>
  <si>
    <t>554g</t>
  </si>
  <si>
    <t>367g</t>
  </si>
  <si>
    <t>555g</t>
  </si>
  <si>
    <t>Galarian Darminitan</t>
  </si>
  <si>
    <t>368g</t>
  </si>
  <si>
    <t>222g</t>
  </si>
  <si>
    <t>562g</t>
  </si>
  <si>
    <t>327g</t>
  </si>
  <si>
    <t>052g</t>
  </si>
  <si>
    <t>498a</t>
  </si>
  <si>
    <t>499a</t>
  </si>
  <si>
    <t>500a</t>
  </si>
  <si>
    <t>661a</t>
  </si>
  <si>
    <t>662a</t>
  </si>
  <si>
    <t>663a</t>
  </si>
  <si>
    <t>659a</t>
  </si>
  <si>
    <t>660a</t>
  </si>
  <si>
    <t>664a</t>
  </si>
  <si>
    <t>665a</t>
  </si>
  <si>
    <t>666a</t>
  </si>
  <si>
    <t>13a</t>
  </si>
  <si>
    <t>14a</t>
  </si>
  <si>
    <t>15a</t>
  </si>
  <si>
    <t>16a</t>
  </si>
  <si>
    <t>17a</t>
  </si>
  <si>
    <t>18a</t>
  </si>
  <si>
    <t>504a</t>
  </si>
  <si>
    <t>505a</t>
  </si>
  <si>
    <t>406a</t>
  </si>
  <si>
    <t>315a</t>
  </si>
  <si>
    <t>407a</t>
  </si>
  <si>
    <t>688a</t>
  </si>
  <si>
    <t>689a</t>
  </si>
  <si>
    <t>669a</t>
  </si>
  <si>
    <t>670a</t>
  </si>
  <si>
    <t>671a</t>
  </si>
  <si>
    <t>672a</t>
  </si>
  <si>
    <t>673a</t>
  </si>
  <si>
    <t>677a</t>
  </si>
  <si>
    <t>678a</t>
  </si>
  <si>
    <t>667a</t>
  </si>
  <si>
    <t>668a</t>
  </si>
  <si>
    <t>674a</t>
  </si>
  <si>
    <t>675a</t>
  </si>
  <si>
    <t>568a</t>
  </si>
  <si>
    <t>569a</t>
  </si>
  <si>
    <t>702a</t>
  </si>
  <si>
    <t>25a</t>
  </si>
  <si>
    <t>26a</t>
  </si>
  <si>
    <t>35a</t>
  </si>
  <si>
    <t>36a</t>
  </si>
  <si>
    <t>23a</t>
  </si>
  <si>
    <t>24a</t>
  </si>
  <si>
    <t>63a</t>
  </si>
  <si>
    <t>64a</t>
  </si>
  <si>
    <t>65a</t>
  </si>
  <si>
    <t>92a</t>
  </si>
  <si>
    <t>93a</t>
  </si>
  <si>
    <t>94a</t>
  </si>
  <si>
    <t>543a</t>
  </si>
  <si>
    <t>544a</t>
  </si>
  <si>
    <t>545a</t>
  </si>
  <si>
    <t>679a</t>
  </si>
  <si>
    <t>680a</t>
  </si>
  <si>
    <t>681a</t>
  </si>
  <si>
    <t>69a</t>
  </si>
  <si>
    <t>70a</t>
  </si>
  <si>
    <t>71a</t>
  </si>
  <si>
    <t>511a</t>
  </si>
  <si>
    <t>512a</t>
  </si>
  <si>
    <t>513a</t>
  </si>
  <si>
    <t>514a</t>
  </si>
  <si>
    <t>515a</t>
  </si>
  <si>
    <t>516a</t>
  </si>
  <si>
    <t>307a</t>
  </si>
  <si>
    <t>308a</t>
  </si>
  <si>
    <t>309a</t>
  </si>
  <si>
    <t>310a</t>
  </si>
  <si>
    <t>280a</t>
  </si>
  <si>
    <t>281a</t>
  </si>
  <si>
    <t>282a</t>
  </si>
  <si>
    <t>475a</t>
  </si>
  <si>
    <t>228a</t>
  </si>
  <si>
    <t>229a</t>
  </si>
  <si>
    <t>333a</t>
  </si>
  <si>
    <t>334a</t>
  </si>
  <si>
    <t>531a</t>
  </si>
  <si>
    <t>682a</t>
  </si>
  <si>
    <t>683a</t>
  </si>
  <si>
    <t>684a</t>
  </si>
  <si>
    <t>685a</t>
  </si>
  <si>
    <t>196a</t>
  </si>
  <si>
    <t>470a</t>
  </si>
  <si>
    <t>471a</t>
  </si>
  <si>
    <t>700a</t>
  </si>
  <si>
    <t>427a</t>
  </si>
  <si>
    <t>428a</t>
  </si>
  <si>
    <t>353a</t>
  </si>
  <si>
    <t>354a</t>
  </si>
  <si>
    <t>582a</t>
  </si>
  <si>
    <t>583a</t>
  </si>
  <si>
    <t>584a</t>
  </si>
  <si>
    <t>322a</t>
  </si>
  <si>
    <t>323a</t>
  </si>
  <si>
    <t>449a</t>
  </si>
  <si>
    <t>450a</t>
  </si>
  <si>
    <t>529a</t>
  </si>
  <si>
    <t>530a</t>
  </si>
  <si>
    <t>551a</t>
  </si>
  <si>
    <t>552a</t>
  </si>
  <si>
    <t>553a</t>
  </si>
  <si>
    <t>66a</t>
  </si>
  <si>
    <t>67a</t>
  </si>
  <si>
    <t>68a</t>
  </si>
  <si>
    <t>443a</t>
  </si>
  <si>
    <t>444a</t>
  </si>
  <si>
    <t>445a</t>
  </si>
  <si>
    <t>703a</t>
  </si>
  <si>
    <t>302a</t>
  </si>
  <si>
    <t>303a</t>
  </si>
  <si>
    <t>359a</t>
  </si>
  <si>
    <t>447a</t>
  </si>
  <si>
    <t>448a</t>
  </si>
  <si>
    <t>79a</t>
  </si>
  <si>
    <t>80a</t>
  </si>
  <si>
    <t>318a</t>
  </si>
  <si>
    <t>319a</t>
  </si>
  <si>
    <t>602a</t>
  </si>
  <si>
    <t>603a</t>
  </si>
  <si>
    <t>604a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</si>
  <si>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</si>
  <si>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</si>
  <si>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</si>
  <si>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</si>
  <si>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</si>
  <si>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</si>
  <si>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</si>
  <si>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</si>
  <si>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</si>
  <si>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618a</t>
  </si>
  <si>
    <t>676a</t>
  </si>
  <si>
    <t>686a</t>
  </si>
  <si>
    <t>687a</t>
  </si>
  <si>
    <t>690a</t>
  </si>
  <si>
    <t>691a</t>
  </si>
  <si>
    <t>692a</t>
  </si>
  <si>
    <t>693a</t>
  </si>
  <si>
    <t>704a</t>
  </si>
  <si>
    <t>705a</t>
  </si>
  <si>
    <t>706a</t>
  </si>
  <si>
    <t>361a</t>
  </si>
  <si>
    <t>362a</t>
  </si>
  <si>
    <t>478a</t>
  </si>
  <si>
    <t>459a</t>
  </si>
  <si>
    <t>460a</t>
  </si>
  <si>
    <t>712a</t>
  </si>
  <si>
    <t>713a</t>
  </si>
  <si>
    <t>587a</t>
  </si>
  <si>
    <t>701a</t>
  </si>
  <si>
    <t>708a</t>
  </si>
  <si>
    <t>709a</t>
  </si>
  <si>
    <t>559a</t>
  </si>
  <si>
    <t>560a</t>
  </si>
  <si>
    <t>714a</t>
  </si>
  <si>
    <t>715a</t>
  </si>
  <si>
    <t>707a</t>
  </si>
  <si>
    <t>607a</t>
  </si>
  <si>
    <t>608a</t>
  </si>
  <si>
    <t>609a</t>
  </si>
  <si>
    <t>95a</t>
  </si>
  <si>
    <t>304a</t>
  </si>
  <si>
    <t>305a</t>
  </si>
  <si>
    <t>306a</t>
  </si>
  <si>
    <t>694a</t>
  </si>
  <si>
    <t>695a</t>
  </si>
  <si>
    <t>710a</t>
  </si>
  <si>
    <t>711a</t>
  </si>
  <si>
    <t>246a</t>
  </si>
  <si>
    <t>247a</t>
  </si>
  <si>
    <t>248a</t>
  </si>
  <si>
    <t>656a</t>
  </si>
  <si>
    <t>657a</t>
  </si>
  <si>
    <t>658a</t>
  </si>
  <si>
    <t>870a</t>
  </si>
  <si>
    <t>650a</t>
  </si>
  <si>
    <t>651a</t>
  </si>
  <si>
    <t>652a</t>
  </si>
  <si>
    <t>653a</t>
  </si>
  <si>
    <t>654a</t>
  </si>
  <si>
    <t>655a</t>
  </si>
  <si>
    <t>371a</t>
  </si>
  <si>
    <t>372a</t>
  </si>
  <si>
    <t>373a</t>
  </si>
  <si>
    <t>780a</t>
  </si>
  <si>
    <t>374a</t>
  </si>
  <si>
    <t>375a</t>
  </si>
  <si>
    <t>376a</t>
  </si>
  <si>
    <t>SV Evolve</t>
  </si>
  <si>
    <t>SV Location</t>
  </si>
  <si>
    <t>BDSP Location</t>
  </si>
  <si>
    <t>BDSP Evolve</t>
  </si>
  <si>
    <t>Energy Plant (🗡️only)</t>
  </si>
  <si>
    <t>Energy Plant (🛡️only)</t>
  </si>
  <si>
    <t>Sprigatito (Lvl 16)</t>
  </si>
  <si>
    <t>Floragato (Lvl 36)</t>
  </si>
  <si>
    <t>Fuecoco (Lvl 16)</t>
  </si>
  <si>
    <t>Crocalor (Lvl 36)</t>
  </si>
  <si>
    <t>Quaxly (Lvl 16)</t>
  </si>
  <si>
    <t>Quaxwell (Lvl 36)</t>
  </si>
  <si>
    <t>Lechonk (Lvl 18)</t>
  </si>
  <si>
    <t>Tarountula (Lvl 15)</t>
  </si>
  <si>
    <t>Nymble (Lvl 24)</t>
  </si>
  <si>
    <t>Zorua (Lvl 30)</t>
  </si>
  <si>
    <t>Foongus (Lvl 39)</t>
  </si>
  <si>
    <t>Bramblin (Walk 1000 steps in LGPE)</t>
  </si>
  <si>
    <t>Finneon (Lvl 31)</t>
  </si>
  <si>
    <t>Frigibax (Lvl 35)</t>
  </si>
  <si>
    <t>Arctibax (Lvl 54)</t>
  </si>
  <si>
    <t>Bisharp (Look Up Instructions)</t>
  </si>
  <si>
    <t>Kricketot (Lvl 10)</t>
  </si>
  <si>
    <t>Voltorb (Lvl 30)</t>
  </si>
  <si>
    <t>Magnemite (Lvl 30)</t>
  </si>
  <si>
    <t>Magneton (Thunder Stone)</t>
  </si>
  <si>
    <t>Varoom (Lvl 40)</t>
  </si>
  <si>
    <t>Grimer (Lvl 38)</t>
  </si>
  <si>
    <t>Gulpin (Lvl 26)</t>
  </si>
  <si>
    <t>Rockruff (Lvl 25)</t>
  </si>
  <si>
    <t>Teddiursa (Lvl 30)</t>
  </si>
  <si>
    <t>Capsakid (Fire Stone)</t>
  </si>
  <si>
    <t>Cacnea (Lvl 32)</t>
  </si>
  <si>
    <t>Igglybuff (High Friendship)</t>
  </si>
  <si>
    <t>Jigglypuff (Moon Stone)</t>
  </si>
  <si>
    <t>Shroomish (Lvl 23)</t>
  </si>
  <si>
    <t>Girafarig (Lvl Up w/ Twin Beam)</t>
  </si>
  <si>
    <t>Mankey (Lvl 28)</t>
  </si>
  <si>
    <t>Primeape (Use Rage Fist x20)</t>
  </si>
  <si>
    <t>Murkrow (Dusk Stone)</t>
  </si>
  <si>
    <t>Slakoth (Lvl 18)</t>
  </si>
  <si>
    <t>Vigoroth (Lvl 36)</t>
  </si>
  <si>
    <t>Pawmi (Lvl 18)</t>
  </si>
  <si>
    <t>Pawmo (Walk 1000 Steps in LGPE)</t>
  </si>
  <si>
    <t>Yungoos (Lvl 20 during Day)</t>
  </si>
  <si>
    <t>Hoppip (Lvl 18)</t>
  </si>
  <si>
    <t>Skiploom (Lvl 27)</t>
  </si>
  <si>
    <t>Sunkern (Sun Stone)</t>
  </si>
  <si>
    <t>Happiny (Oval Stone)</t>
  </si>
  <si>
    <t>Chansey (High Friendship)</t>
  </si>
  <si>
    <t>Azurill (High Friendship)</t>
  </si>
  <si>
    <t>Marill (Lvl 18)</t>
  </si>
  <si>
    <t>Surskit (Lvl 22)</t>
  </si>
  <si>
    <t>Buizel (Lvl 26)</t>
  </si>
  <si>
    <t>194p</t>
  </si>
  <si>
    <t>Paldean Wooper</t>
  </si>
  <si>
    <t>Psyduck (Lvl 33)</t>
  </si>
  <si>
    <t>Drowzee (Lvl 26)</t>
  </si>
  <si>
    <t>Tandemaus (Look Up Instructions)</t>
  </si>
  <si>
    <t>Fidough (Lvl 26)</t>
  </si>
  <si>
    <t>Steenee (Lvl 18)</t>
  </si>
  <si>
    <t>Steenee (Lvl up w/ Stomp)</t>
  </si>
  <si>
    <t>Smoliv (Lvl 25)</t>
  </si>
  <si>
    <t>Dolliv (Lvl 35)</t>
  </si>
  <si>
    <t>Shinx (Lvl 15)</t>
  </si>
  <si>
    <t>Luxio (Lvl 30)</t>
  </si>
  <si>
    <t>Starly (Lvl 14)</t>
  </si>
  <si>
    <t>Staravia (Lvl 34)</t>
  </si>
  <si>
    <t>Petilil (Sun Stone)</t>
  </si>
  <si>
    <t>Applin (Sweet Apple)</t>
  </si>
  <si>
    <t>Spoink (Lvl 32)</t>
  </si>
  <si>
    <t>Misdreavus (Dusk Stone)</t>
  </si>
  <si>
    <t>Makuhita (Lvl 24)</t>
  </si>
  <si>
    <t>Crabrawler (Ice Stone)</t>
  </si>
  <si>
    <t>Phanpy (Lvl 25)</t>
  </si>
  <si>
    <t>Nacli (Lvl 24)</t>
  </si>
  <si>
    <t>Naclstack (Lvl 38)</t>
  </si>
  <si>
    <t>Charcadet (Auspicious Armor)</t>
  </si>
  <si>
    <t>Armarouge (Malicious Armor)</t>
  </si>
  <si>
    <t>Tadbulb (Thunder Stone)</t>
  </si>
  <si>
    <t>Wattrel (Lvl 25)</t>
  </si>
  <si>
    <t>Dunsparce (Lvl Up w/ Hyper Drill)</t>
  </si>
  <si>
    <t>Deerling (Lvl 34)</t>
  </si>
  <si>
    <t>Maschiff (Lvl 30)</t>
  </si>
  <si>
    <t>Shroodle (Lvl 28)</t>
  </si>
  <si>
    <t>Litleo (Lvl 35)</t>
  </si>
  <si>
    <t>Toedscool (Lvl 30)</t>
  </si>
  <si>
    <t>Fomantis (Lvl 34 at Day)</t>
  </si>
  <si>
    <t>Rellor (Walk 1000 steps in LGPE)</t>
  </si>
  <si>
    <t>Venonat (Lvl 31)</t>
  </si>
  <si>
    <t>Pineco (Lvl 31)</t>
  </si>
  <si>
    <t>Flittle (Lvl 35)</t>
  </si>
  <si>
    <t>Larvesta (Lvl 59)</t>
  </si>
  <si>
    <t>Area, Bio, %, Time, Game</t>
  </si>
  <si>
    <t>Shelgon (Lvl 50)</t>
  </si>
  <si>
    <t>Tinkatink (Lvl 24)</t>
  </si>
  <si>
    <t>Tinkatuff (Lvl 38)</t>
  </si>
  <si>
    <t>Wiglett (Lvl 26)</t>
  </si>
  <si>
    <t>Finizen (Lvl 38 in Co-op)</t>
  </si>
  <si>
    <t>Glimmet (Lvl 35)</t>
  </si>
  <si>
    <t>Greavard (Lvl 30 at night)</t>
  </si>
  <si>
    <t>Sandygast (Lvl 42)</t>
  </si>
  <si>
    <t>Dratini (Lvl 30)</t>
  </si>
  <si>
    <t>Cetoddle (Ice Stone)</t>
  </si>
  <si>
    <t>17 Locations</t>
  </si>
  <si>
    <t>Gimmighoul (Collect 999 Coins)</t>
  </si>
  <si>
    <t>Purple Shrine</t>
  </si>
  <si>
    <t>Yellow Shrine</t>
  </si>
  <si>
    <t>Green Shrine</t>
  </si>
  <si>
    <t>Blue Shrine</t>
  </si>
  <si>
    <t>Evolve  🔴only or Trade</t>
  </si>
  <si>
    <t>Evolve  🟣only or Trade</t>
  </si>
  <si>
    <t>South 1 &amp; 4 🌱🌲</t>
  </si>
  <si>
    <t>East 1 &amp; 2 🌱🌲 20%</t>
  </si>
  <si>
    <t>East 1 &amp; 2 🌲🎋 20%</t>
  </si>
  <si>
    <t xml:space="preserve">West 1 🌱⛰️ </t>
  </si>
  <si>
    <t xml:space="preserve">West 1 ⛰️🪨🎋 </t>
  </si>
  <si>
    <t xml:space="preserve">South 1 &amp; 2 🌱 </t>
  </si>
  <si>
    <t>East 1 &amp; 2 🌱🌸 20%</t>
  </si>
  <si>
    <t>Great Crater 🌱</t>
  </si>
  <si>
    <t>South 1 &amp; 2 🌱</t>
  </si>
  <si>
    <t>South 4 &amp; 5 🌱</t>
  </si>
  <si>
    <t>Great Crater 🪨</t>
  </si>
  <si>
    <t>South 1 &amp; 3 🌱🪨 5%</t>
  </si>
  <si>
    <t>South 2 &amp; 4 🌱⛰️ 10%</t>
  </si>
  <si>
    <t>South 1 &amp; 4 🪨🦇</t>
  </si>
  <si>
    <t>North 2 🪨🦇 20%</t>
  </si>
  <si>
    <t>Any West 🦇</t>
  </si>
  <si>
    <t>Any West 🪨🦇</t>
  </si>
  <si>
    <t>South 2 &amp; 4 🌲</t>
  </si>
  <si>
    <t>North 1 &amp; 2 🌲</t>
  </si>
  <si>
    <t>South 1 &amp; 2 🌸 🌅🏙️🌇</t>
  </si>
  <si>
    <t>South 2 🌿</t>
  </si>
  <si>
    <t>North 1 &amp; 2 🎋</t>
  </si>
  <si>
    <t xml:space="preserve">South 1 🌱 </t>
  </si>
  <si>
    <t>South 1 &amp; 4 🌸</t>
  </si>
  <si>
    <t>South 1 &amp; 2 🌸</t>
  </si>
  <si>
    <t>South 1 &amp; 2 🌸🌿</t>
  </si>
  <si>
    <t>Any East 🌱⛰️🏡🪨</t>
  </si>
  <si>
    <t>Great Crater 🌱 20%</t>
  </si>
  <si>
    <t>Any South 🌱🌸 1%</t>
  </si>
  <si>
    <t>North 3 🌱🌸 1%</t>
  </si>
  <si>
    <t>Any North 🌸 1%</t>
  </si>
  <si>
    <t>South 1 &amp; 4 ⛵🎣</t>
  </si>
  <si>
    <t>East 2 🌱🏖️</t>
  </si>
  <si>
    <t>Casseroya Lake ⛵🎣</t>
  </si>
  <si>
    <t>South 1 &amp; 5 ⛵🎣</t>
  </si>
  <si>
    <t>South 4 &amp; 5 ⛵🎣 20%</t>
  </si>
  <si>
    <t>East 1 &amp; 2 🎣🌊🏖️ 20%</t>
  </si>
  <si>
    <t>Any East 🌊</t>
  </si>
  <si>
    <t>South 4 &amp; 5 ⛵🪷</t>
  </si>
  <si>
    <t>South 5 ⛵🪷</t>
  </si>
  <si>
    <t>Casseroya Lake ⛵🎣 20%</t>
  </si>
  <si>
    <t>South 5 🪷</t>
  </si>
  <si>
    <t>Casseroya Lake ⛵</t>
  </si>
  <si>
    <t>South 1 &amp; 2 🏡</t>
  </si>
  <si>
    <t>West 3 🏡</t>
  </si>
  <si>
    <t>North 1 ⛰️ 5%</t>
  </si>
  <si>
    <t>South 1 🏡 🌅🏙️🌇</t>
  </si>
  <si>
    <t>East 2 🏡 🌅🏙️🌇</t>
  </si>
  <si>
    <t>Glaseado Mountain ❄️ 🌅🏙️🌇</t>
  </si>
  <si>
    <t>Glaseado Mountain ⛰️ 🌅🏙️🌇</t>
  </si>
  <si>
    <t>South 1 &amp; 2 🏛️</t>
  </si>
  <si>
    <t>Great Crater 🕳️</t>
  </si>
  <si>
    <t>West 1 ⛰️ 🌃</t>
  </si>
  <si>
    <t>Glaseado Mountain ⛰️❄️🏛️ 🌃</t>
  </si>
  <si>
    <t>Pokémon League 🏡</t>
  </si>
  <si>
    <t>South 1 &amp; 2 🌲 10%</t>
  </si>
  <si>
    <t>South 2 &amp; 4 🌲 10%</t>
  </si>
  <si>
    <t>Casseroya Lake 🌱 10%</t>
  </si>
  <si>
    <t>South 3 &amp; 5 🌱 10%</t>
  </si>
  <si>
    <t>South 5 🌱⛰️</t>
  </si>
  <si>
    <t>Casseroya Lake 🌲 5%</t>
  </si>
  <si>
    <t>South 1 &amp; 2 🌲</t>
  </si>
  <si>
    <t>East 1 🌲</t>
  </si>
  <si>
    <t>Any North 🌸 10%</t>
  </si>
  <si>
    <t>Casseroya Lake 🌲</t>
  </si>
  <si>
    <t>West 1 ⛰️</t>
  </si>
  <si>
    <t>Great Crater 🪨🦇</t>
  </si>
  <si>
    <t>East 3 💎</t>
  </si>
  <si>
    <t>South 3 🪨</t>
  </si>
  <si>
    <t>South 5 🌱 20%</t>
  </si>
  <si>
    <t>North 2 🎋 20%</t>
  </si>
  <si>
    <t>South 2 &amp; 4 🌱🌿 20% 🌅🏙️🌇</t>
  </si>
  <si>
    <t>South 2 &amp; 4 🌱 🌅🏙️🌇</t>
  </si>
  <si>
    <t>Casseroya Lake 🌱⛵ 7% 🌅🏙️🌇</t>
  </si>
  <si>
    <t>East 1 🏡🌸</t>
  </si>
  <si>
    <t>South 2 🌱🌿</t>
  </si>
  <si>
    <t>West 2 🌱</t>
  </si>
  <si>
    <t>North 1 ⛰️ 1%</t>
  </si>
  <si>
    <t>South 2 &amp; 4 🌸</t>
  </si>
  <si>
    <t>North 3 🌸 5%</t>
  </si>
  <si>
    <t>West 3 🌱🌲</t>
  </si>
  <si>
    <t>West 3 🌲🎋</t>
  </si>
  <si>
    <t>North 1 &amp; 2 🌲 10%</t>
  </si>
  <si>
    <t>South 3 ⛰️🪨 20%</t>
  </si>
  <si>
    <t>North 1 &amp; 2 ⛰️🪨 20%</t>
  </si>
  <si>
    <t>Any East 🏡</t>
  </si>
  <si>
    <t>North 1 &amp; 2 ⛵ 🌃 🟣only</t>
  </si>
  <si>
    <t>Casseroya Lake ⛵ 3% 🌃 🟣only</t>
  </si>
  <si>
    <t>Any West 🪨🦇 20%</t>
  </si>
  <si>
    <t>North 1 &amp; 3 🏖️</t>
  </si>
  <si>
    <t>Glaseado Mountain ❄️ 10%</t>
  </si>
  <si>
    <t>North 1 🦇</t>
  </si>
  <si>
    <t>North 1 🦇 5%</t>
  </si>
  <si>
    <t>West 1 🏜️⛰️⛵</t>
  </si>
  <si>
    <t>West 2 🏜️🌱 20%</t>
  </si>
  <si>
    <t>East 3 💎 15%</t>
  </si>
  <si>
    <t>West 1 &amp; 2 🦇</t>
  </si>
  <si>
    <t>Any West 🪨</t>
  </si>
  <si>
    <t>Any North 🪨</t>
  </si>
  <si>
    <t>Great Crater 🕳️ 20%</t>
  </si>
  <si>
    <t>West 1 &amp; 2 🌊🏖️</t>
  </si>
  <si>
    <t>North Paldean Sea 🌊🏖️</t>
  </si>
  <si>
    <t>South Paldean Sea 🌊🏖️</t>
  </si>
  <si>
    <t>Casseroya Lake ⛵ 15%</t>
  </si>
  <si>
    <t>Any South 🎣🌊</t>
  </si>
  <si>
    <t>Any North 🎣🌊 20%</t>
  </si>
  <si>
    <t>Any West ⛵🎣</t>
  </si>
  <si>
    <t>East 1 🌱🏡 🟣only</t>
  </si>
  <si>
    <t>Casseroya Lake ⛵ 🟣only</t>
  </si>
  <si>
    <t>West 2 &amp; 3 🌱🏡</t>
  </si>
  <si>
    <t>West 3 🌱🏡</t>
  </si>
  <si>
    <t>South 2 &amp; 6 🏡⛰️ 🌇🌃 🔴only</t>
  </si>
  <si>
    <t>Glaseado Mountain 🏡⛰️ 20% 🌇🌃 🔴only</t>
  </si>
  <si>
    <t>South 4 &amp; 6 🌸</t>
  </si>
  <si>
    <t>North 1 &amp; 2 🌸</t>
  </si>
  <si>
    <t>North 3 🌸 1%</t>
  </si>
  <si>
    <t>East 3 💎 10%</t>
  </si>
  <si>
    <t>North 2 🪨 20%</t>
  </si>
  <si>
    <t>West 1 &amp; 3 🏛️</t>
  </si>
  <si>
    <t>Casseroya Lake ❄️🏛️</t>
  </si>
  <si>
    <t>North 1 ⛰️🎣 20%</t>
  </si>
  <si>
    <t>Glaseado Mountain ⛰️ 20%</t>
  </si>
  <si>
    <t>West 1 🌱⛰️</t>
  </si>
  <si>
    <t>North 1 &amp; 2 🌲🪨🎋 10%</t>
  </si>
  <si>
    <t>South 4 &amp; 6 ⛰️🦇</t>
  </si>
  <si>
    <t>South 6  🌱⛰️ 20%</t>
  </si>
  <si>
    <t>South 4  ⛰️ 20%</t>
  </si>
  <si>
    <t>North 1 &amp; 2  ⛰️🪨 3%</t>
  </si>
  <si>
    <t>North 1 &amp; 2  🌲⛰️🪨🦇 1%</t>
  </si>
  <si>
    <t>South 1 &amp; 4 ⛵</t>
  </si>
  <si>
    <t>South 1 &amp; 4 ⛵ 10%</t>
  </si>
  <si>
    <t>South 4 &amp; 5 🪷🎣</t>
  </si>
  <si>
    <t>Great Crater 🎣</t>
  </si>
  <si>
    <t>Casseroya Lake 🪷🎣</t>
  </si>
  <si>
    <t>South 5 🪷⛵🎣</t>
  </si>
  <si>
    <t>Casseroya Lake 🪷⛵🎣</t>
  </si>
  <si>
    <t>Casseroya Lake ⛵🎣 1%</t>
  </si>
  <si>
    <t>West 3 🌲 1%</t>
  </si>
  <si>
    <t>Any Area 🌱 1% 🌅🏙️🌇</t>
  </si>
  <si>
    <t>West 3 🦇 1% 🌃</t>
  </si>
  <si>
    <t>Glaseado Mountain ❄️ 1%</t>
  </si>
  <si>
    <t>South 6 🏡 1%</t>
  </si>
  <si>
    <t>Great Crater 🕳️ 2%</t>
  </si>
  <si>
    <t>West 2 &amp; 3 🌱</t>
  </si>
  <si>
    <t>West 2 &amp; 3 🌱🌲</t>
  </si>
  <si>
    <t>West 2 🌱🌲</t>
  </si>
  <si>
    <t>Great Crater 🌱 10%</t>
  </si>
  <si>
    <t>East 2 🏡</t>
  </si>
  <si>
    <t>East 2 🏡 3%</t>
  </si>
  <si>
    <t>West 2 &amp; 3 🌱🏛️</t>
  </si>
  <si>
    <t>West 2 &amp; 3 🌱🌲🏛️</t>
  </si>
  <si>
    <t>South 4 &amp; 6 🌱⛰️🦇</t>
  </si>
  <si>
    <t>South 4 &amp; 6 ⛰️🦇 15%</t>
  </si>
  <si>
    <t>North 3 🏡 20%</t>
  </si>
  <si>
    <t>South 4 &amp; 5 🌲</t>
  </si>
  <si>
    <t>Tagtree Thicket 🌲</t>
  </si>
  <si>
    <t>South 5 🌱🪨</t>
  </si>
  <si>
    <t>East 1 &amp; 2 🌲</t>
  </si>
  <si>
    <t>West 3 🏡💎</t>
  </si>
  <si>
    <t>West 3 🏡 10%</t>
  </si>
  <si>
    <t>East 2 &amp; 3 🌱</t>
  </si>
  <si>
    <t>West 2 &amp; 3 🏡</t>
  </si>
  <si>
    <t>East 3 🪨💎 10%</t>
  </si>
  <si>
    <t>North 2 🪨🎋 2%</t>
  </si>
  <si>
    <t>North 1 &amp; 2 🌲⛰️🎋</t>
  </si>
  <si>
    <t>South 5 ⛵</t>
  </si>
  <si>
    <t>South 5 🌱⛵ 15%</t>
  </si>
  <si>
    <t>Any West ⛰️🪨</t>
  </si>
  <si>
    <t>Any North ⛰️🪨</t>
  </si>
  <si>
    <t>East 1 &amp; 2 🌱</t>
  </si>
  <si>
    <t>East 1 🌱⛰️🪨</t>
  </si>
  <si>
    <t>Glaseado Mountain 🌱⛰️🪨</t>
  </si>
  <si>
    <t>West 2 🌱⛵ 🔴only</t>
  </si>
  <si>
    <t>Casseroya Lake 🌲⛵ 🔴only</t>
  </si>
  <si>
    <t>Tagtree Thicket 🌲 10%</t>
  </si>
  <si>
    <t>North 1 ⛰️❄️</t>
  </si>
  <si>
    <t>North 1 ❄️ 1%</t>
  </si>
  <si>
    <t>Any East 🌱🏡 🌇🌃</t>
  </si>
  <si>
    <t>South 2 &amp; 4 🌲⛰️🪨 1% 🌇🌃</t>
  </si>
  <si>
    <t>Glaseado Mountain 🏡</t>
  </si>
  <si>
    <t>South 6 🏡</t>
  </si>
  <si>
    <t>East 3 🏡🏛️</t>
  </si>
  <si>
    <t>Glaseado Mountain 🏛️</t>
  </si>
  <si>
    <t>North 1 &amp; 2 🌱⛰️</t>
  </si>
  <si>
    <t>Asado Desert 🏜️</t>
  </si>
  <si>
    <t>North 1 🌲⛰️ 1%</t>
  </si>
  <si>
    <t>Any East 🌲</t>
  </si>
  <si>
    <t>Casseroya Lake 🌲⛵</t>
  </si>
  <si>
    <t>North 1 ⛰️ 10%</t>
  </si>
  <si>
    <t>Asado Desert 🏜️ 20%</t>
  </si>
  <si>
    <t>Asado Desert 🏜️ 1%</t>
  </si>
  <si>
    <t>North 1 &amp; 2 🌲 🌃</t>
  </si>
  <si>
    <t>Casseroya Lake 🌲 20%</t>
  </si>
  <si>
    <t>Casseroya Lake ⛵🎋</t>
  </si>
  <si>
    <t>North 1 ⛰️</t>
  </si>
  <si>
    <t>North 1 ⛰️ 12%</t>
  </si>
  <si>
    <t>Asado Desert 🏜️ 5%</t>
  </si>
  <si>
    <t>Great Crater 🌱 1%</t>
  </si>
  <si>
    <t>South 5 ⛰️ 🟣only</t>
  </si>
  <si>
    <t>South 6 🦇 10% 🟣only</t>
  </si>
  <si>
    <t>Any South 🏛️</t>
  </si>
  <si>
    <t>North 1 &amp; 2 ⛰️</t>
  </si>
  <si>
    <t>West 3 ⛵</t>
  </si>
  <si>
    <t>North 1 &amp; 2 ⛵</t>
  </si>
  <si>
    <t>Tagtree Thicket 🌲 20%</t>
  </si>
  <si>
    <t>East 1 &amp; 2 🏖️</t>
  </si>
  <si>
    <t>North 1 &amp; 3 🏖️ 20%</t>
  </si>
  <si>
    <t>West 1 &amp; 2 🏖️</t>
  </si>
  <si>
    <t>East 3 🏡💎 10%</t>
  </si>
  <si>
    <t>East 3 🪨</t>
  </si>
  <si>
    <t>East 2 🌱🌲⛰️🎣 1%</t>
  </si>
  <si>
    <t>Any West 🦇 20%</t>
  </si>
  <si>
    <t>Any East 🏡 🌃</t>
  </si>
  <si>
    <t>Glaseado Mountain 🏡 🌃</t>
  </si>
  <si>
    <t>North 2 🎋🏛️</t>
  </si>
  <si>
    <t>North 1 &amp; 2 ⛰️🪨</t>
  </si>
  <si>
    <t>Glaseado Mountain ⛰️ 1% 🌃</t>
  </si>
  <si>
    <t>North 1 &amp; 2 🦇</t>
  </si>
  <si>
    <t>North 1 &amp; 2 🦇🪨</t>
  </si>
  <si>
    <t>South 5 🪷 20% 🟣only</t>
  </si>
  <si>
    <t>East 2 🏡 10%</t>
  </si>
  <si>
    <t>Glaseado Mountain ⛰️❄️🏛️</t>
  </si>
  <si>
    <t>Glaseado Mountain ⛰️❄️🏛️ 10%</t>
  </si>
  <si>
    <t>North 2 🌲🎋 15% 🔴only</t>
  </si>
  <si>
    <t>North 2 🌲🎋 15% 🟣only</t>
  </si>
  <si>
    <t>South 5 ⛰️ 🔴only</t>
  </si>
  <si>
    <t>South 6 🦇 🔴only</t>
  </si>
  <si>
    <t>Asado Desert 🏛️ 🔴only</t>
  </si>
  <si>
    <t>North Paldean Sea 🌊🏖️ 🟣only</t>
  </si>
  <si>
    <t>East 1 &amp; 2 🏖️ 10%</t>
  </si>
  <si>
    <t>West 2 🏖️ 20%</t>
  </si>
  <si>
    <t>Casseroya Lake ⛵🎣🏖️</t>
  </si>
  <si>
    <t>West 2 🏖️</t>
  </si>
  <si>
    <t>North 2 🏖️ 20%</t>
  </si>
  <si>
    <t>East 1 &amp; 2 🌊🏖️</t>
  </si>
  <si>
    <t>North 1 &amp; 3 🌊 10%</t>
  </si>
  <si>
    <t>East Paldean Sea 🌊</t>
  </si>
  <si>
    <t>West Paldean Sea 🌊</t>
  </si>
  <si>
    <t>North Paldean Sea 🌊 10%</t>
  </si>
  <si>
    <t>North Paldean Sea 🌊 🔴only</t>
  </si>
  <si>
    <t>North Paldean Sea 🌊 20% 🔴only</t>
  </si>
  <si>
    <t>West Paldean Sea 🌊 🟣only</t>
  </si>
  <si>
    <t>North Paldean Sea 🌊 20% 🟣only</t>
  </si>
  <si>
    <t>North Paldean Sea 🌊</t>
  </si>
  <si>
    <t>North Paldean Sea 🎣🌊</t>
  </si>
  <si>
    <t>East Paldean Sea 🌊🏖️</t>
  </si>
  <si>
    <t>East Paldean Sea 🌊🏖️ 3%</t>
  </si>
  <si>
    <t>Casseroya Lake ⛵ 10%</t>
  </si>
  <si>
    <t>Glaseado Mountain ⛰️❄️</t>
  </si>
  <si>
    <t>Great Crater 🌱 5%</t>
  </si>
  <si>
    <t>Glaseado Mountain 🏡❄️</t>
  </si>
  <si>
    <t>Glaseado Mountain ❄️ 20%</t>
  </si>
  <si>
    <t>Glaseado Mountain 🏡❄️ 10%</t>
  </si>
  <si>
    <t>Glaseado Mountain ❄️</t>
  </si>
  <si>
    <t>Glaseado Mountain ❄️20%</t>
  </si>
  <si>
    <t>Glaseado Mountain ❄️🦇</t>
  </si>
  <si>
    <t>Glaseado Mountain ❄️ 2%</t>
  </si>
  <si>
    <t>Glaseado Mountain ❄️🌊</t>
  </si>
  <si>
    <t>East 3 🎣🪨</t>
  </si>
  <si>
    <t>North 2 🎣🪨🎋 10%</t>
  </si>
  <si>
    <t>Glaseado Mountain 🦇 🔴only</t>
  </si>
  <si>
    <t>Great Crater 🕳️ 20% 🔴only</t>
  </si>
  <si>
    <t>Casseroya Lake ⛵🌊</t>
  </si>
  <si>
    <t>Casseroya Lake ⛵ 20%</t>
  </si>
  <si>
    <t>Great Crater 🕳️ 10% 🔴only</t>
  </si>
  <si>
    <t>Great Crater 🌱🕳️ 20% 🔴only</t>
  </si>
  <si>
    <t>Great Crater 🌱🕳️ 10% 🔴only</t>
  </si>
  <si>
    <t>Great Crater 🦇 15% 🔴only</t>
  </si>
  <si>
    <t>Great Crater 🌱 15% 🔴only</t>
  </si>
  <si>
    <t>Great Crater 🪨 15% 🔴only</t>
  </si>
  <si>
    <t>Great Crater 🕳️ 10% 🟣only</t>
  </si>
  <si>
    <t>Great Crater 🌱🕳️ 20% 🟣only</t>
  </si>
  <si>
    <t>Great Crater 🌱🕳️ 10% 🟣only</t>
  </si>
  <si>
    <t>Great Crater 🦇 15% 🟣only</t>
  </si>
  <si>
    <t>Great Crater 🌱 15% 🟣only</t>
  </si>
  <si>
    <t>Great Crater 🪨 15% 🟣only</t>
  </si>
  <si>
    <t>Glaseado Mountain ❄️🦇 1%</t>
  </si>
  <si>
    <t>North 3 🦇</t>
  </si>
  <si>
    <t>Great Crater 🦇 🔴only</t>
  </si>
  <si>
    <t>Great Crater 🦇 🟣only</t>
  </si>
  <si>
    <t>Starter  🔴only</t>
  </si>
  <si>
    <t>Starter  🟣only</t>
  </si>
  <si>
    <t>Viridian Forest 👣</t>
  </si>
  <si>
    <t>Viridian Forest 👣 RARE</t>
  </si>
  <si>
    <t>Route 6–19 🪽 RARE</t>
  </si>
  <si>
    <t>Route 3 &amp; 4 👣 RARE</t>
  </si>
  <si>
    <t>Route 24 &amp; 25 👣 RARE</t>
  </si>
  <si>
    <t>Victory Road 👣 RARE</t>
  </si>
  <si>
    <t>Mt. Moon 👣 RARE</t>
  </si>
  <si>
    <t>Route 2 👣</t>
  </si>
  <si>
    <t>Route 1 &amp; 2 👣</t>
  </si>
  <si>
    <t>Route 5–8 👣</t>
  </si>
  <si>
    <t>19a</t>
  </si>
  <si>
    <t>Alolan Rattata</t>
  </si>
  <si>
    <t>20a</t>
  </si>
  <si>
    <t>Alolan Raticate</t>
  </si>
  <si>
    <t>Alolan Raichu</t>
  </si>
  <si>
    <t>27a</t>
  </si>
  <si>
    <t>Alolan Sandshrew</t>
  </si>
  <si>
    <t>Alolan Sandslash</t>
  </si>
  <si>
    <t>28a</t>
  </si>
  <si>
    <t>37a</t>
  </si>
  <si>
    <t>Alolan Vlupix</t>
  </si>
  <si>
    <t>38a</t>
  </si>
  <si>
    <t>Alolan Ninetales</t>
  </si>
  <si>
    <t>Alolan Diglett</t>
  </si>
  <si>
    <t>Alolan Dugtrio</t>
  </si>
  <si>
    <t>50a</t>
  </si>
  <si>
    <t>51a</t>
  </si>
  <si>
    <t>52a</t>
  </si>
  <si>
    <t>53a</t>
  </si>
  <si>
    <t>Alolan Persian</t>
  </si>
  <si>
    <t>Alolan Meowth</t>
  </si>
  <si>
    <t>74a</t>
  </si>
  <si>
    <t>75a</t>
  </si>
  <si>
    <t>Alolan Geodude</t>
  </si>
  <si>
    <t>Alolan Graveler</t>
  </si>
  <si>
    <t>76a</t>
  </si>
  <si>
    <t>Alolan Golem</t>
  </si>
  <si>
    <t>89a</t>
  </si>
  <si>
    <t>88a</t>
  </si>
  <si>
    <t>Alolan Grimer</t>
  </si>
  <si>
    <t>Alolan Muk</t>
  </si>
  <si>
    <t>Alolan Exeggutor</t>
  </si>
  <si>
    <t>Alolan Marowak</t>
  </si>
  <si>
    <t>Trade for Rattata in Cerulean City</t>
  </si>
  <si>
    <t>Rattata (Lvl 20)</t>
  </si>
  <si>
    <t>Alolan Rattata (Lvl 20)</t>
  </si>
  <si>
    <t>Spearow (Lvl 20)</t>
  </si>
  <si>
    <t>Sandshrew (Lvl 22)</t>
  </si>
  <si>
    <t>Alolan Sandshrew (Lvl 22)</t>
  </si>
  <si>
    <t>Nidorina (Moon Stone)</t>
  </si>
  <si>
    <t>Nidoran♀ (Lvl 16)</t>
  </si>
  <si>
    <t>Nidoran♂ (Lvl 16)</t>
  </si>
  <si>
    <t>Nidorino (Moon Stone)</t>
  </si>
  <si>
    <t>Trade for Vulpix in Celadon City</t>
  </si>
  <si>
    <t>Alolan Vulpix (Ice Stone)</t>
  </si>
  <si>
    <t>Zubat (Lvl 22)</t>
  </si>
  <si>
    <t>Tyrogue (Lvl 20 w/ Attack &lt; Defense)</t>
  </si>
  <si>
    <t>Tyrogue (Lvl 20 w/ Attack = Defense)</t>
  </si>
  <si>
    <t>Paras (Lvl 24)</t>
  </si>
  <si>
    <t>Trade for Diglett in Lavender Town</t>
  </si>
  <si>
    <t>Alolan Diglett (Lvl 26)</t>
  </si>
  <si>
    <t>Alolan Meowth (Lvl 28)</t>
  </si>
  <si>
    <t>Poliwhirl (Water Stone)</t>
  </si>
  <si>
    <t>Poliwag (Lvl 25)</t>
  </si>
  <si>
    <t>Tentacool (Lvl 30)</t>
  </si>
  <si>
    <t>Geodude (Lvl 25)</t>
  </si>
  <si>
    <t>Graveler (Trade)</t>
  </si>
  <si>
    <t>Trade for Geodude in Vermillion City</t>
  </si>
  <si>
    <t>Alolan Geodude (Lvl 25)</t>
  </si>
  <si>
    <t>Alolan Graveler (Trade)</t>
  </si>
  <si>
    <t>Ponyta (Lvl 40)</t>
  </si>
  <si>
    <t>Doduo (Lvl 31)</t>
  </si>
  <si>
    <t>Seel (Lvl 31)</t>
  </si>
  <si>
    <t>Trade for Grimer in Cinnabar Island</t>
  </si>
  <si>
    <t>Trade for Meowth in Cinnabar Island</t>
  </si>
  <si>
    <t>Alolan Grimer (Lvl 38)</t>
  </si>
  <si>
    <t>Exeggcute (Leaf Stone)</t>
  </si>
  <si>
    <t>Trade for Exeggutor in Indigo Plateau</t>
  </si>
  <si>
    <t>Trade for Marowak in Fuchsia City</t>
  </si>
  <si>
    <t>Cubone (Lvl 28)</t>
  </si>
  <si>
    <t>Horsea (Lvl 32)</t>
  </si>
  <si>
    <t>Omanyte (Lvl 40)</t>
  </si>
  <si>
    <t>Kabuto (Lvl 40)</t>
  </si>
  <si>
    <t>Route 3 &amp; 4 👣</t>
  </si>
  <si>
    <t>Route 9 &amp; 10 👣</t>
  </si>
  <si>
    <t>Trade for Raichu in Saffron City</t>
  </si>
  <si>
    <t>Trade for Sandshrew in Celadon City</t>
  </si>
  <si>
    <t>Route 23 👣</t>
  </si>
  <si>
    <t>Mt. Moon B2F 👣</t>
  </si>
  <si>
    <t>Route 7 &amp; 8 👣</t>
  </si>
  <si>
    <t>Diglett's Cave 👣</t>
  </si>
  <si>
    <t>Rock Tunnel 👣</t>
  </si>
  <si>
    <t>Route 21 👣</t>
  </si>
  <si>
    <t>Mt. Moon 👣</t>
  </si>
  <si>
    <t>Route 14 &amp; 15 👣</t>
  </si>
  <si>
    <t>Route 4 &amp; 6 👣</t>
  </si>
  <si>
    <t>Cerulean Cave 1F 👣</t>
  </si>
  <si>
    <t>Route 3 &amp; 4 👣 ⚡only</t>
  </si>
  <si>
    <t>Vermillion City 🎁 ⚡only</t>
  </si>
  <si>
    <t>Viridian Forest 👣 ⚡only</t>
  </si>
  <si>
    <t>Viridian Forest 👣 🦊only</t>
  </si>
  <si>
    <t>Route 3 &amp; 4 👣 🦊only</t>
  </si>
  <si>
    <t>Route 7 &amp; 8 👣 🦊only</t>
  </si>
  <si>
    <t>Route 1 &amp; 2 👣 ⚡only</t>
  </si>
  <si>
    <t>Route 21 👣 ⚡only</t>
  </si>
  <si>
    <t>Route 24 &amp; 25 👣 🦊only</t>
  </si>
  <si>
    <t>Route 7 ⚡only&lt;br&gt;Vermillion City 🎁 🦊only</t>
  </si>
  <si>
    <t>Victory Road 👣</t>
  </si>
  <si>
    <t>Route 1 &amp; 2 🦊only</t>
  </si>
  <si>
    <t>Route 21 👣 🦊only</t>
  </si>
  <si>
    <t>Route 17 👣</t>
  </si>
  <si>
    <t>Seafoam Islands 👣</t>
  </si>
  <si>
    <t>Power Plant 👣</t>
  </si>
  <si>
    <t>Route 12 &amp; 13 👣</t>
  </si>
  <si>
    <t>Route 12 – 15 👣 🦊only</t>
  </si>
  <si>
    <t>Route 16 – 18 👣</t>
  </si>
  <si>
    <t>Route 5 – 8 👣 ⚡only</t>
  </si>
  <si>
    <t>Route 12 – 15 👣 ⚡only</t>
  </si>
  <si>
    <t>Route 5 – 8 👣</t>
  </si>
  <si>
    <t>Route 5 – 8 👣 🦊only</t>
  </si>
  <si>
    <t>Route 1 – 11 👣</t>
  </si>
  <si>
    <t>Route 7 – 11 👣</t>
  </si>
  <si>
    <t>Route 6 – 19 🪽 RARE</t>
  </si>
  <si>
    <t>Power Plant 👣 ⚡only</t>
  </si>
  <si>
    <t>Route 11 👣</t>
  </si>
  <si>
    <t>Cerulean Cave 👣</t>
  </si>
  <si>
    <t>Power Plant 👣 🦊only</t>
  </si>
  <si>
    <t>Cerulean Cave 2F 👣</t>
  </si>
  <si>
    <t>Route 14 &amp; 15 👣 ⚡only</t>
  </si>
  <si>
    <t>Pokémon Mansion 👣</t>
  </si>
  <si>
    <t>Pokémon Tower 3F 👣</t>
  </si>
  <si>
    <t>Route 14 &amp; 15 👣 🦊only</t>
  </si>
  <si>
    <t>Route 19 &amp; 20 👣 RARE&lt;br&gt;Silph Co. 🎁</t>
  </si>
  <si>
    <t>Route 7 👣 RARE&lt;br&gt;Saffron City 🎁</t>
  </si>
  <si>
    <t>Cinnabar Lab (Helix Fossil)</t>
  </si>
  <si>
    <t>Cinnabar Lab (Old Amber)</t>
  </si>
  <si>
    <t>Cinnabar Lab (Dome Fossil)</t>
  </si>
  <si>
    <t>Route 12 &amp; 16 👣</t>
  </si>
  <si>
    <t>Power Plant 📍</t>
  </si>
  <si>
    <t>Seafoam Islands B4F 📍</t>
  </si>
  <si>
    <t>Victory Road 2F 📍</t>
  </si>
  <si>
    <t>Cerulean Cave B1F 📍</t>
  </si>
  <si>
    <t>Route 22 &amp; 23 🌊</t>
  </si>
  <si>
    <t>Cerulean Cave 1F 🌊</t>
  </si>
  <si>
    <t>Route 10 – 13 🌊</t>
  </si>
  <si>
    <t>Seafoam Islands B3F 🌊</t>
  </si>
  <si>
    <t>Route 11 – 13 🌊</t>
  </si>
  <si>
    <t>Route 6 🌊</t>
  </si>
  <si>
    <t>Route 18 &amp; 19 🌊</t>
  </si>
  <si>
    <t>Route 4 &amp; 6 🌊</t>
  </si>
  <si>
    <t>Route 20 🌊</t>
  </si>
  <si>
    <t>Route 10 🌊</t>
  </si>
  <si>
    <t>LGPE Evolve</t>
  </si>
  <si>
    <t>LGPE Location</t>
  </si>
  <si>
    <t>Piplup (Lvl 16)</t>
  </si>
  <si>
    <t>Prinplup (Lvl 36)</t>
  </si>
  <si>
    <t>Chimchar (Lvl 14)</t>
  </si>
  <si>
    <t>Turtwig (Lvl 18)</t>
  </si>
  <si>
    <t>Grotle (Lvl 32)</t>
  </si>
  <si>
    <t>Monferno (Lvl 36)</t>
  </si>
  <si>
    <t>Resort Area 🌊</t>
  </si>
  <si>
    <t>Burmy (Lvl 20 Female)</t>
  </si>
  <si>
    <t>Burmy (Lvl 20 Male)</t>
  </si>
  <si>
    <t>None</t>
  </si>
  <si>
    <t>Breed Weezing</t>
  </si>
  <si>
    <t>Breed Ledian</t>
  </si>
  <si>
    <t>Breed Ariados</t>
  </si>
  <si>
    <t>Breed Houndoom</t>
  </si>
  <si>
    <t>Porygon (Trade)</t>
  </si>
  <si>
    <t>Breed Swellow</t>
  </si>
  <si>
    <t>Breed Loudred</t>
  </si>
  <si>
    <t>Breed Banette</t>
  </si>
  <si>
    <t>Breed Wobbuffet</t>
  </si>
  <si>
    <t>Breed Manaphy</t>
  </si>
  <si>
    <t>Special Instructions</t>
  </si>
  <si>
    <r>
      <t>Charmeleon (</t>
    </r>
    <r>
      <rPr>
        <sz val="12"/>
        <color rgb="FFFF0000"/>
        <rFont val="Calibri (Body)"/>
      </rPr>
      <t>Lvl 36</t>
    </r>
    <r>
      <rPr>
        <sz val="12"/>
        <color theme="1"/>
        <rFont val="Calibri"/>
        <family val="2"/>
        <scheme val="minor"/>
      </rPr>
      <t>)</t>
    </r>
  </si>
  <si>
    <t>Combined Evolve</t>
  </si>
  <si>
    <t>Bidoof (Lvl 15)</t>
  </si>
  <si>
    <t>Budew (Max Friendship at Day)</t>
  </si>
  <si>
    <t>Golbat (High Friendship)</t>
  </si>
  <si>
    <t>Cranidos (Lvl 30)</t>
  </si>
  <si>
    <t>Shieldon (Lvl 30)</t>
  </si>
  <si>
    <t>Wurmple (Lvl 7 Random)</t>
  </si>
  <si>
    <t>Silcoon (Lvl 10)</t>
  </si>
  <si>
    <t>Cascoon (Lvl 10)</t>
  </si>
  <si>
    <t>Glameow (Lvl 38)</t>
  </si>
  <si>
    <t>Chingling (High Happiness at Night)</t>
  </si>
  <si>
    <t>Aipom (Lvl Up w/ Double Hit)</t>
  </si>
  <si>
    <t>Mime Jr. (Lvl Up w/ Mimic)</t>
  </si>
  <si>
    <t>Cyndaquil (Lvl 14)</t>
  </si>
  <si>
    <t>Quilava (Lvl 36)</t>
  </si>
  <si>
    <t>Sentret (Lvl 15)</t>
  </si>
  <si>
    <t>Ledyba (Lvl 18)</t>
  </si>
  <si>
    <t>Yanma (Lvl Up w/ Ancient Power)</t>
  </si>
  <si>
    <t>Snubbull (Lvl 23)</t>
  </si>
  <si>
    <t>Slugma (Lvl 38)</t>
  </si>
  <si>
    <t>Treecko (Lvl 16)</t>
  </si>
  <si>
    <t>Grovyle (Lvl 36)</t>
  </si>
  <si>
    <t>Torchic (Lvl 16)</t>
  </si>
  <si>
    <t>Combusken (Lvl 36)</t>
  </si>
  <si>
    <t>Mudkip (Lvl 16)</t>
  </si>
  <si>
    <t>Marshtomp (Lvl 36)</t>
  </si>
  <si>
    <t>Poochyena (Lvl 18)</t>
  </si>
  <si>
    <t>Zigzagoon (Lvl 20)</t>
  </si>
  <si>
    <t>Taillow (Lvl 22)</t>
  </si>
  <si>
    <t>Whismur (Lvl 20)</t>
  </si>
  <si>
    <t>Loudred (Lvl 40)</t>
  </si>
  <si>
    <t>Nosepass (Lvl Up in Mt. Coronet)</t>
  </si>
  <si>
    <t>Skitty (Moon Stone)</t>
  </si>
  <si>
    <t>Lileep (Lvl 40)</t>
  </si>
  <si>
    <t>Anorith (Lvl 40)</t>
  </si>
  <si>
    <t>Spheal (Lvl 32)</t>
  </si>
  <si>
    <t>Sealeo (Lvl 44)</t>
  </si>
  <si>
    <t>Clamperl (Trade holding Deep Sea Tooth)</t>
  </si>
  <si>
    <t>Clamperl (Trade holding Deep Sea Scale)</t>
  </si>
  <si>
    <t>Lickitung (Lvl Up w/ Rollout)</t>
  </si>
  <si>
    <t>Tangela (Lvl Up w/ Ancient Power)</t>
  </si>
  <si>
    <t>Electabuzz (Trade holding Electirizer)</t>
  </si>
  <si>
    <t>Magmar (Trade holding Magmarizer)</t>
  </si>
  <si>
    <t>Gligar (Holding Razor Fang at Night)</t>
  </si>
  <si>
    <t>Porygon2 (Trade holding Dubious Disc)</t>
  </si>
  <si>
    <t>Elekid (Lvl 30)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</si>
  <si>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</si>
  <si>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</si>
  <si>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</si>
  <si>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</si>
  <si>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</si>
  <si>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</si>
  <si>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</si>
  <si>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</si>
  <si>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</si>
  <si>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</si>
  <si>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</si>
  <si>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</si>
  <si>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</si>
  <si>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</si>
  <si>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</si>
  <si>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</si>
  <si>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</si>
  <si>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</si>
  <si>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</si>
  <si>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</si>
  <si>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</si>
  <si>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</si>
  <si>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</si>
  <si>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</si>
  <si>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</si>
  <si>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</si>
  <si>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</si>
  <si>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</si>
  <si>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</si>
  <si>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</si>
  <si>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</si>
  <si>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</si>
  <si>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</si>
  <si>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</si>
  <si>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</si>
  <si>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</si>
  <si>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</si>
  <si>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</si>
  <si>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</si>
  <si>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</si>
  <si>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</si>
  <si>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</si>
  <si>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</si>
  <si>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</si>
  <si>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</si>
  <si>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</si>
  <si>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</si>
  <si>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</si>
  <si>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</si>
  <si>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</si>
  <si>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</si>
  <si>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</si>
  <si>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</si>
  <si>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</si>
  <si>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</si>
  <si>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</si>
  <si>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</si>
  <si>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</si>
  <si>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</si>
  <si>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</si>
  <si>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</si>
  <si>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</si>
  <si>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</si>
  <si>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</si>
  <si>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</si>
  <si>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</si>
  <si>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</si>
  <si>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</si>
  <si>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</si>
  <si>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</si>
  <si>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</si>
  <si>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</si>
  <si>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</si>
  <si>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</si>
  <si>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</si>
  <si>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</si>
  <si>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</si>
  <si>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</si>
  <si>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</si>
  <si>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</si>
  <si>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</si>
  <si>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</si>
  <si>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</si>
  <si>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</si>
  <si>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</si>
  <si>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</si>
  <si>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</si>
  <si>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</si>
  <si>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</si>
  <si>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</si>
  <si>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</si>
  <si>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</si>
  <si>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</si>
  <si>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Oreburgh Museum (Helix Fossil)</t>
  </si>
  <si>
    <t>Oreburgh Museum (Dome Fossil)</t>
  </si>
  <si>
    <t>Oreburgh Museum (Root Fossil)</t>
  </si>
  <si>
    <t>Oreburgh Museum (Claw Fossil)</t>
  </si>
  <si>
    <t>Grassland Cave 👣</t>
  </si>
  <si>
    <t>Volcanic Cave 👣</t>
  </si>
  <si>
    <t>Fountainspring Cave 👣</t>
  </si>
  <si>
    <t>Route 229 🐝</t>
  </si>
  <si>
    <t>Spacious Cave 👣</t>
  </si>
  <si>
    <t>Trophy Garden (Special) 👣</t>
  </si>
  <si>
    <t>Swampy Cave 👣</t>
  </si>
  <si>
    <t>Victory Road B1F 🌊</t>
  </si>
  <si>
    <t>Victory Road 2F 👣</t>
  </si>
  <si>
    <t>Victory Road 1F 👣</t>
  </si>
  <si>
    <t>Pastoria City 🌊</t>
  </si>
  <si>
    <t>Pokémon League 🌊</t>
  </si>
  <si>
    <t>Iron Island B1F 👣</t>
  </si>
  <si>
    <t>Dazzling Cave 👣</t>
  </si>
  <si>
    <t>Turnback Cave 👣</t>
  </si>
  <si>
    <t>Rocky Cave 👣</t>
  </si>
  <si>
    <t>Riverbank Cave 👣</t>
  </si>
  <si>
    <t>Route 226 🎣</t>
  </si>
  <si>
    <t>Route 203 🎣 Good</t>
  </si>
  <si>
    <t>Route 203 🎣 Super</t>
  </si>
  <si>
    <t>Route 203 🎣 Old</t>
  </si>
  <si>
    <t>Trophy Garden (Special) 👣&lt;br&gt;Hearthome City 🎁</t>
  </si>
  <si>
    <t>Oreburgh Museum (Old Amber)  👣</t>
  </si>
  <si>
    <t>Floaroma Town 🎁</t>
  </si>
  <si>
    <t>None 👣</t>
  </si>
  <si>
    <t>Riverbank Cave (Know Strength) 👣</t>
  </si>
  <si>
    <t>Great Marsh 🌊</t>
  </si>
  <si>
    <t>Spacious Cave (Know Defog) 👣</t>
  </si>
  <si>
    <t>Swampy Cave (Know Defog) 👣</t>
  </si>
  <si>
    <t>Solaceon Ruins 👣</t>
  </si>
  <si>
    <t>Dazzling Cave (Know Defog) 👣</t>
  </si>
  <si>
    <t>Route 208 🐝</t>
  </si>
  <si>
    <t>Snowpoint Temple 1F 👣</t>
  </si>
  <si>
    <t>Route 213 🎣Good</t>
  </si>
  <si>
    <t>Riverbank Cave (Know Waterfall) 👣</t>
  </si>
  <si>
    <t>Whiteout Cave 👣</t>
  </si>
  <si>
    <t>Route 212 North 📡</t>
  </si>
  <si>
    <t>Route 213 📡</t>
  </si>
  <si>
    <t>Great Marsh (Special) 👣</t>
  </si>
  <si>
    <t>Eterna Forest 🐝</t>
  </si>
  <si>
    <t>Mt. Coronet Mountainside 📡</t>
  </si>
  <si>
    <t>Route 225 🐝</t>
  </si>
  <si>
    <t>Route 206 🐝</t>
  </si>
  <si>
    <t>Dazzling Cave (Know Strength) 👣</t>
  </si>
  <si>
    <t>Valley Windworks 🐝</t>
  </si>
  <si>
    <t>Route 213 🎣Super</t>
  </si>
  <si>
    <t>Route 223 🎣Super</t>
  </si>
  <si>
    <t>Route 214 🐝</t>
  </si>
  <si>
    <t>Route 227 🐝</t>
  </si>
  <si>
    <t>Route 208 🎣 Good</t>
  </si>
  <si>
    <t>Route 208 🎣 Super</t>
  </si>
  <si>
    <t>Mt. Coronet B1F 👣&lt;br&gt;(Look Up Instructions)</t>
  </si>
  <si>
    <t>Ramanas Park (Discovery) 📍</t>
  </si>
  <si>
    <t>Ramanas Park (Soul) 📍</t>
  </si>
  <si>
    <t>Ramanas Park (Oceanic) 📍</t>
  </si>
  <si>
    <t>Ramanas Park (Tectonic) 📍</t>
  </si>
  <si>
    <t>Ramanas Park (Stratospheric) 📍</t>
  </si>
  <si>
    <t>Starter 👣</t>
  </si>
  <si>
    <t>Sendoff Spring 👣</t>
  </si>
  <si>
    <t>Victory Road B1F 👣</t>
  </si>
  <si>
    <t>Wayward Cave 1F 👣</t>
  </si>
  <si>
    <t>Hearthome City 🎁</t>
  </si>
  <si>
    <t>Hallowed Tower 📍</t>
  </si>
  <si>
    <t>Iron Island B2F 🎁</t>
  </si>
  <si>
    <t>Rocky Cave (Know Defog) 👣</t>
  </si>
  <si>
    <t>Canalave City 🎣Good</t>
  </si>
  <si>
    <t>Canalave City 🎣Super</t>
  </si>
  <si>
    <t>Lake Acuity 📍</t>
  </si>
  <si>
    <t>Lake Acuity (Special) ✈️</t>
  </si>
  <si>
    <t>Lake Valor 📍</t>
  </si>
  <si>
    <t>Stark Mountain 📍</t>
  </si>
  <si>
    <t>Snowpoint Temple B5F (Special) 📍</t>
  </si>
  <si>
    <t>Turnback Cave (Special) 📍</t>
  </si>
  <si>
    <t>Fullmoon Island (Special) ✈️</t>
  </si>
  <si>
    <t>Spacious Cave 👣 ⚪only</t>
  </si>
  <si>
    <t>Grassland Cave 👣 ⚪only</t>
  </si>
  <si>
    <t>Ramanas Park (Kanto) 📍 ⚪only</t>
  </si>
  <si>
    <t>Ramanas Park (Genome) 📍 ⚪only</t>
  </si>
  <si>
    <t>Dazzling Cave 👣 ⚪only</t>
  </si>
  <si>
    <t>Spacious Cave ⚪only</t>
  </si>
  <si>
    <t>Route 207 📡 ⚪only</t>
  </si>
  <si>
    <t>Volcanic Cave 👣 ⚪only</t>
  </si>
  <si>
    <t>Ramanas Park (Squall) 📍 ⚪only</t>
  </si>
  <si>
    <t>Grassland Cave ⚪only</t>
  </si>
  <si>
    <t>Dazzling Cave ⚪only</t>
  </si>
  <si>
    <t>Whiteout Cave ⚪only</t>
  </si>
  <si>
    <t>Oreburgh Museum (Armor Fossil) ⚪only</t>
  </si>
  <si>
    <t>Spacious Cave (Know Defog) 👣 ⚪only</t>
  </si>
  <si>
    <t>Route 209 👣 ⚪only</t>
  </si>
  <si>
    <t>Spear Pillar 📍 ⚪only</t>
  </si>
  <si>
    <t>Spacious Cave 👣 💎only</t>
  </si>
  <si>
    <t>Grassland Cave 👣 💎only</t>
  </si>
  <si>
    <t>Fountainspring Cave 👣 💎only</t>
  </si>
  <si>
    <t>Big Bluff Cavern 👣 💎only</t>
  </si>
  <si>
    <t>Ramanas Park (Johto) 📍 💎only</t>
  </si>
  <si>
    <t>Rocky Cave 💎only</t>
  </si>
  <si>
    <t>Ramanas Park (Rainbow) 📍 💎only</t>
  </si>
  <si>
    <t>Grassland Cave 💎only</t>
  </si>
  <si>
    <t>Dazzling Cave 💎only</t>
  </si>
  <si>
    <t>Oreburgh Museum (Skull Fossil) 💎only</t>
  </si>
  <si>
    <t>Riverbank Cave (Know Strength) 👣 💎only</t>
  </si>
  <si>
    <t>Spear Pillar 📍 💎only</t>
  </si>
  <si>
    <t>Route 226 👣 🌅🏙️</t>
  </si>
  <si>
    <t>Route 206 👣 🏙️</t>
  </si>
  <si>
    <t>Trophy Garden 👣 🌅</t>
  </si>
  <si>
    <t>Mt. Coronet 1F South 👣 🌅</t>
  </si>
  <si>
    <t>Route 202 👣 🏙️</t>
  </si>
  <si>
    <t>Trophy Garden 👣 🏙️</t>
  </si>
  <si>
    <t>Route 214 👣 🌃</t>
  </si>
  <si>
    <t>Valley Windworks 📍 Fridays</t>
  </si>
  <si>
    <t>Route 209 👣 🌅 💎only</t>
  </si>
  <si>
    <t>Old Chateau 📍 🌃</t>
  </si>
  <si>
    <r>
      <t xml:space="preserve">Trophy Garden 👣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FF0000"/>
        <rFont val="Calibri (Body)"/>
      </rPr>
      <t>20%</t>
    </r>
  </si>
  <si>
    <r>
      <t xml:space="preserve">Mt. Coronet 2F 👣  </t>
    </r>
    <r>
      <rPr>
        <b/>
        <sz val="12"/>
        <color rgb="FFFF0000"/>
        <rFont val="Calibri (Body)"/>
      </rPr>
      <t>15%</t>
    </r>
    <r>
      <rPr>
        <sz val="12"/>
        <color theme="1"/>
        <rFont val="Calibri"/>
        <family val="2"/>
        <scheme val="minor"/>
      </rPr>
      <t xml:space="preserve"> 🌅</t>
    </r>
  </si>
  <si>
    <r>
      <t xml:space="preserve">Route 228 👣  </t>
    </r>
    <r>
      <rPr>
        <b/>
        <sz val="12"/>
        <color rgb="FFFF0000"/>
        <rFont val="Calibri (Body)"/>
      </rPr>
      <t>4%</t>
    </r>
  </si>
  <si>
    <r>
      <t xml:space="preserve">Route 228 👣  </t>
    </r>
    <r>
      <rPr>
        <b/>
        <sz val="12"/>
        <color rgb="FFFF0000"/>
        <rFont val="Calibri (Body)"/>
      </rPr>
      <t>10%</t>
    </r>
  </si>
  <si>
    <r>
      <t xml:space="preserve">Route 203 👣  </t>
    </r>
    <r>
      <rPr>
        <b/>
        <sz val="12"/>
        <color rgb="FFFF0000"/>
        <rFont val="Calibri (Body)"/>
      </rPr>
      <t>10%</t>
    </r>
  </si>
  <si>
    <r>
      <t xml:space="preserve">Glacial Cave 👣 </t>
    </r>
    <r>
      <rPr>
        <b/>
        <sz val="12"/>
        <color rgb="FFFF0000"/>
        <rFont val="Calibri (Body)"/>
      </rPr>
      <t>1%</t>
    </r>
  </si>
  <si>
    <r>
      <t xml:space="preserve">Great Marsh (Special) 👣  </t>
    </r>
    <r>
      <rPr>
        <b/>
        <sz val="12"/>
        <color rgb="FFFF0000"/>
        <rFont val="Calibri (Body)"/>
      </rPr>
      <t>3%</t>
    </r>
  </si>
  <si>
    <r>
      <t xml:space="preserve">Route 209 👣  </t>
    </r>
    <r>
      <rPr>
        <b/>
        <sz val="12"/>
        <color rgb="FFFF0000"/>
        <rFont val="Calibri (Body)"/>
      </rPr>
      <t>4%</t>
    </r>
  </si>
  <si>
    <r>
      <t xml:space="preserve">Route 218 👣  </t>
    </r>
    <r>
      <rPr>
        <b/>
        <sz val="12"/>
        <color rgb="FFFF0000"/>
        <rFont val="Calibri (Body)"/>
      </rPr>
      <t>4%</t>
    </r>
    <r>
      <rPr>
        <sz val="12"/>
        <color theme="1"/>
        <rFont val="Calibri"/>
        <family val="2"/>
        <scheme val="minor"/>
      </rPr>
      <t xml:space="preserve"> 💎only</t>
    </r>
  </si>
  <si>
    <r>
      <t xml:space="preserve">Victory Road 1F Back 2 🌊  </t>
    </r>
    <r>
      <rPr>
        <b/>
        <sz val="12"/>
        <color rgb="FFFF0000"/>
        <rFont val="Calibri (Body)"/>
      </rPr>
      <t>10%</t>
    </r>
  </si>
  <si>
    <r>
      <t xml:space="preserve">Mt. Coronet 4F 🎣  </t>
    </r>
    <r>
      <rPr>
        <b/>
        <sz val="12"/>
        <color rgb="FFFF0000"/>
        <rFont val="Calibri (Body)"/>
      </rPr>
      <t>5%</t>
    </r>
  </si>
  <si>
    <r>
      <t xml:space="preserve">Lake Valor 👣  </t>
    </r>
    <r>
      <rPr>
        <b/>
        <sz val="12"/>
        <color rgb="FFFF0000"/>
        <rFont val="Calibri (Body)"/>
      </rPr>
      <t xml:space="preserve">20% </t>
    </r>
    <r>
      <rPr>
        <sz val="12"/>
        <color theme="1"/>
        <rFont val="Calibri"/>
        <family val="2"/>
        <scheme val="minor"/>
      </rPr>
      <t>🌃</t>
    </r>
  </si>
  <si>
    <r>
      <t xml:space="preserve">Fountainspring Cave 👣  </t>
    </r>
    <r>
      <rPr>
        <b/>
        <sz val="12"/>
        <color rgb="FFFF0000"/>
        <rFont val="Calibri (Body)"/>
      </rPr>
      <t>10%</t>
    </r>
  </si>
  <si>
    <r>
      <t xml:space="preserve">Route 214 👣  </t>
    </r>
    <r>
      <rPr>
        <b/>
        <sz val="12"/>
        <color rgb="FFFF0000"/>
        <rFont val="Calibri (Body)"/>
      </rPr>
      <t>4%</t>
    </r>
    <r>
      <rPr>
        <sz val="12"/>
        <color theme="1"/>
        <rFont val="Calibri"/>
        <family val="2"/>
        <scheme val="minor"/>
      </rPr>
      <t xml:space="preserve"> ⚪only</t>
    </r>
  </si>
  <si>
    <r>
      <t xml:space="preserve">Snowpoint Temple B4F 👣  </t>
    </r>
    <r>
      <rPr>
        <b/>
        <sz val="12"/>
        <color rgb="FFFF0000"/>
        <rFont val="Calibri (Body)"/>
      </rPr>
      <t>20%</t>
    </r>
  </si>
  <si>
    <r>
      <t xml:space="preserve">Route 205 – 215 🌳 </t>
    </r>
    <r>
      <rPr>
        <b/>
        <sz val="12"/>
        <color rgb="FFFF0000"/>
        <rFont val="Calibri (Body)"/>
      </rPr>
      <t xml:space="preserve"> 1%</t>
    </r>
  </si>
  <si>
    <r>
      <t xml:space="preserve">Route 227 👣 </t>
    </r>
    <r>
      <rPr>
        <b/>
        <sz val="12"/>
        <color rgb="FFFF0000"/>
        <rFont val="Calibri (Body)"/>
      </rPr>
      <t>5%</t>
    </r>
  </si>
  <si>
    <r>
      <t xml:space="preserve">Dazzling Cave 👣  </t>
    </r>
    <r>
      <rPr>
        <b/>
        <sz val="12"/>
        <color rgb="FFFF0000"/>
        <rFont val="Calibri (Body)"/>
      </rPr>
      <t>15%</t>
    </r>
    <r>
      <rPr>
        <sz val="12"/>
        <color theme="1"/>
        <rFont val="Calibri"/>
        <family val="2"/>
        <scheme val="minor"/>
      </rPr>
      <t xml:space="preserve"> 💎only</t>
    </r>
  </si>
  <si>
    <r>
      <t xml:space="preserve">Route 230 👣  </t>
    </r>
    <r>
      <rPr>
        <b/>
        <sz val="12"/>
        <color rgb="FFFF0000"/>
        <rFont val="Calibri (Body)"/>
      </rPr>
      <t xml:space="preserve">10% </t>
    </r>
    <r>
      <rPr>
        <sz val="12"/>
        <color theme="1"/>
        <rFont val="Calibri"/>
        <family val="2"/>
        <scheme val="minor"/>
      </rPr>
      <t xml:space="preserve">💎 Route 224 👣   </t>
    </r>
    <r>
      <rPr>
        <sz val="12"/>
        <color rgb="FFFF0000"/>
        <rFont val="Calibri (Body)"/>
      </rPr>
      <t>4%</t>
    </r>
    <r>
      <rPr>
        <sz val="12"/>
        <color theme="1"/>
        <rFont val="Calibri"/>
        <family val="2"/>
        <scheme val="minor"/>
      </rPr>
      <t xml:space="preserve"> ⚪</t>
    </r>
  </si>
  <si>
    <r>
      <t xml:space="preserve">Route 230 👣  </t>
    </r>
    <r>
      <rPr>
        <b/>
        <sz val="12"/>
        <color rgb="FFFF0000"/>
        <rFont val="Calibri (Body)"/>
      </rPr>
      <t>10%</t>
    </r>
    <r>
      <rPr>
        <sz val="12"/>
        <color theme="1"/>
        <rFont val="Calibri"/>
        <family val="2"/>
        <scheme val="minor"/>
      </rPr>
      <t xml:space="preserve"> ⚪only</t>
    </r>
  </si>
  <si>
    <r>
      <t xml:space="preserve">Great Marsh Area 5 👣  </t>
    </r>
    <r>
      <rPr>
        <b/>
        <sz val="12"/>
        <color rgb="FFFF0000"/>
        <rFont val="Calibri (Body)"/>
      </rPr>
      <t>5%</t>
    </r>
  </si>
  <si>
    <r>
      <t xml:space="preserve">Victory Road 1F 👣 </t>
    </r>
    <r>
      <rPr>
        <b/>
        <sz val="12"/>
        <color rgb="FFFF0000"/>
        <rFont val="Calibri (Body)"/>
      </rPr>
      <t xml:space="preserve"> 15%</t>
    </r>
  </si>
  <si>
    <r>
      <t xml:space="preserve">Route 223 🎣Super  </t>
    </r>
    <r>
      <rPr>
        <b/>
        <sz val="12"/>
        <color rgb="FFFF0000"/>
        <rFont val="Calibri (Body)"/>
      </rPr>
      <t>5%</t>
    </r>
  </si>
  <si>
    <r>
      <t xml:space="preserve">Sendoff Spring 👣  </t>
    </r>
    <r>
      <rPr>
        <b/>
        <sz val="12"/>
        <color rgb="FFFF0000"/>
        <rFont val="Calibri (Body)"/>
      </rPr>
      <t>10%</t>
    </r>
  </si>
  <si>
    <r>
      <t xml:space="preserve">Grassland Cave 👣  </t>
    </r>
    <r>
      <rPr>
        <b/>
        <sz val="12"/>
        <color rgb="FFFF0000"/>
        <rFont val="Calibri (Body)"/>
      </rPr>
      <t>20%</t>
    </r>
  </si>
  <si>
    <r>
      <t xml:space="preserve">Whiteout Cave 👣  </t>
    </r>
    <r>
      <rPr>
        <b/>
        <sz val="12"/>
        <color rgb="FFFF0000"/>
        <rFont val="Calibri (Body)"/>
      </rPr>
      <t>14%</t>
    </r>
  </si>
  <si>
    <r>
      <t xml:space="preserve">Route 226 🎣 Super  </t>
    </r>
    <r>
      <rPr>
        <b/>
        <sz val="12"/>
        <color rgb="FFFF0000"/>
        <rFont val="Calibri (Body)"/>
      </rPr>
      <t>15%</t>
    </r>
  </si>
  <si>
    <r>
      <t xml:space="preserve">Route 224 🎣 Super  </t>
    </r>
    <r>
      <rPr>
        <b/>
        <sz val="12"/>
        <color rgb="FFFF0000"/>
        <rFont val="Calibri (Body)"/>
      </rPr>
      <t>15%</t>
    </r>
  </si>
  <si>
    <r>
      <t xml:space="preserve">Fuego Ironworks 👣 </t>
    </r>
    <r>
      <rPr>
        <b/>
        <sz val="12"/>
        <color rgb="FFFF0000"/>
        <rFont val="Calibri (Body)"/>
      </rPr>
      <t xml:space="preserve"> 10%</t>
    </r>
  </si>
  <si>
    <r>
      <t xml:space="preserve">Route 205 – 215 🌳  </t>
    </r>
    <r>
      <rPr>
        <b/>
        <sz val="12"/>
        <color rgb="FFFF0000"/>
        <rFont val="Calibri (Body)"/>
      </rPr>
      <t>11%</t>
    </r>
  </si>
  <si>
    <r>
      <t xml:space="preserve">Route 222 👣 </t>
    </r>
    <r>
      <rPr>
        <b/>
        <sz val="12"/>
        <color rgb="FFFF0000"/>
        <rFont val="Calibri (Body)"/>
      </rPr>
      <t xml:space="preserve"> 20%</t>
    </r>
    <r>
      <rPr>
        <sz val="12"/>
        <color theme="1"/>
        <rFont val="Calibri"/>
        <family val="2"/>
        <scheme val="minor"/>
      </rPr>
      <t xml:space="preserve"> ⚪only</t>
    </r>
  </si>
  <si>
    <r>
      <t xml:space="preserve">Route 222 👣  </t>
    </r>
    <r>
      <rPr>
        <b/>
        <sz val="12"/>
        <color rgb="FFFF0000"/>
        <rFont val="Calibri (Body)"/>
      </rPr>
      <t xml:space="preserve">20% </t>
    </r>
    <r>
      <rPr>
        <sz val="12"/>
        <color theme="1"/>
        <rFont val="Calibri"/>
        <family val="2"/>
        <scheme val="minor"/>
      </rPr>
      <t>🌅🏙️</t>
    </r>
  </si>
  <si>
    <r>
      <t xml:space="preserve">Wayward Cave B1F 👣  </t>
    </r>
    <r>
      <rPr>
        <b/>
        <sz val="12"/>
        <color rgb="FFFF0000"/>
        <rFont val="Calibri (Body)"/>
      </rPr>
      <t>15%</t>
    </r>
  </si>
  <si>
    <r>
      <t xml:space="preserve">Route 228 👣  </t>
    </r>
    <r>
      <rPr>
        <b/>
        <sz val="12"/>
        <color rgb="FFFF0000"/>
        <rFont val="Calibri (Body)"/>
      </rPr>
      <t>10%</t>
    </r>
    <r>
      <rPr>
        <sz val="12"/>
        <color theme="1"/>
        <rFont val="Calibri"/>
        <family val="2"/>
        <scheme val="minor"/>
      </rPr>
      <t xml:space="preserve"> 🌅</t>
    </r>
  </si>
  <si>
    <r>
      <t xml:space="preserve">Great Marsh (Special) 👣 </t>
    </r>
    <r>
      <rPr>
        <b/>
        <sz val="12"/>
        <color rgb="FFFF0000"/>
        <rFont val="Calibri (Body)"/>
      </rPr>
      <t>15%</t>
    </r>
  </si>
  <si>
    <r>
      <t xml:space="preserve">Mt. Coronet Mountainside 👣  </t>
    </r>
    <r>
      <rPr>
        <b/>
        <sz val="12"/>
        <color rgb="FFFF0000"/>
        <rFont val="Calibri (Body)"/>
      </rPr>
      <t>20%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</si>
</sst>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7030A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 (Body)"/>
    </font>
    <font>
      <b/>
      <sz val="12"/>
      <color rgb="FFFF0000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8DBF1"/>
        <bgColor indexed="64"/>
      </patternFill>
    </fill>
    <fill>
      <patternFill patternType="solid">
        <fgColor rgb="FFE8DBF1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6" borderId="1" xfId="0" applyFill="1" applyBorder="1"/>
    <xf numFmtId="0" fontId="2" fillId="6" borderId="1" xfId="0" applyFont="1" applyFill="1" applyBorder="1"/>
    <xf numFmtId="0" fontId="3" fillId="7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/>
    <xf numFmtId="0" fontId="0" fillId="2" borderId="1" xfId="0" applyFill="1" applyBorder="1"/>
    <xf numFmtId="0" fontId="0" fillId="2" borderId="1" xfId="0" quotePrefix="1" applyFill="1" applyBorder="1" applyAlignment="1">
      <alignment horizontal="center"/>
    </xf>
    <xf numFmtId="0" fontId="4" fillId="0" borderId="1" xfId="0" applyFont="1" applyBorder="1"/>
    <xf numFmtId="0" fontId="0" fillId="4" borderId="1" xfId="0" quotePrefix="1" applyFill="1" applyBorder="1" applyAlignment="1">
      <alignment horizontal="center"/>
    </xf>
    <xf numFmtId="0" fontId="0" fillId="8" borderId="0" xfId="0" applyFill="1"/>
    <xf numFmtId="0" fontId="3" fillId="9" borderId="1" xfId="0" applyFont="1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DBF1"/>
      <color rgb="FFE1D3F1"/>
      <color rgb="FFDBB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9E37-A159-B740-9858-020CCDDAF72E}">
  <dimension ref="A1:U1285"/>
  <sheetViews>
    <sheetView tabSelected="1" zoomScale="110" zoomScaleNormal="110" workbookViewId="0"/>
  </sheetViews>
  <sheetFormatPr baseColWidth="10" defaultRowHeight="16" x14ac:dyDescent="0.2"/>
  <cols>
    <col min="1" max="1" width="8.6640625" style="3" bestFit="1" customWidth="1"/>
    <col min="2" max="2" width="13" style="5" bestFit="1" customWidth="1"/>
    <col min="3" max="4" width="10.83203125" style="5"/>
    <col min="5" max="5" width="6.5" style="18" customWidth="1"/>
    <col min="6" max="6" width="6.5" style="4" customWidth="1"/>
    <col min="7" max="8" width="6.5" style="6" customWidth="1"/>
    <col min="9" max="9" width="6.5" style="11" customWidth="1"/>
    <col min="10" max="10" width="6.5" style="19" customWidth="1"/>
    <col min="11" max="11" width="13.33203125" style="20" customWidth="1"/>
    <col min="12" max="12" width="13.33203125" style="21" customWidth="1"/>
    <col min="13" max="13" width="13.33203125" style="10" customWidth="1"/>
    <col min="14" max="14" width="13.33203125" style="9" customWidth="1"/>
    <col min="15" max="15" width="13.33203125" style="12" customWidth="1"/>
    <col min="16" max="16" width="18.83203125" style="20" customWidth="1"/>
    <col min="17" max="17" width="18.83203125" style="21" customWidth="1"/>
    <col min="18" max="18" width="18.83203125" style="10" customWidth="1"/>
    <col min="19" max="19" width="18.83203125" style="9" customWidth="1"/>
    <col min="20" max="20" width="18.83203125" style="12" customWidth="1"/>
    <col min="21" max="21" width="18.83203125" style="5" customWidth="1"/>
    <col min="22" max="26" width="5.5" style="5" customWidth="1"/>
    <col min="27" max="16384" width="10.83203125" style="5"/>
  </cols>
  <sheetData>
    <row r="1" spans="1:21" s="2" customFormat="1" x14ac:dyDescent="0.2">
      <c r="A1" s="1" t="s">
        <v>2776</v>
      </c>
      <c r="B1" s="2" t="s">
        <v>3086</v>
      </c>
      <c r="C1" s="2" t="s">
        <v>1166</v>
      </c>
      <c r="D1" s="2" t="s">
        <v>1167</v>
      </c>
      <c r="E1" s="15" t="s">
        <v>938</v>
      </c>
      <c r="F1" s="16" t="s">
        <v>940</v>
      </c>
      <c r="G1" s="8" t="s">
        <v>2775</v>
      </c>
      <c r="H1" s="8" t="s">
        <v>2775</v>
      </c>
      <c r="I1" s="7" t="s">
        <v>939</v>
      </c>
      <c r="J1" s="17" t="s">
        <v>941</v>
      </c>
      <c r="K1" s="15" t="s">
        <v>3540</v>
      </c>
      <c r="L1" s="16" t="s">
        <v>945</v>
      </c>
      <c r="M1" s="8" t="s">
        <v>2995</v>
      </c>
      <c r="N1" s="7" t="s">
        <v>2994</v>
      </c>
      <c r="O1" s="17" t="s">
        <v>1164</v>
      </c>
      <c r="P1" s="15" t="s">
        <v>3539</v>
      </c>
      <c r="Q1" s="16" t="s">
        <v>944</v>
      </c>
      <c r="R1" s="8" t="s">
        <v>2996</v>
      </c>
      <c r="S1" s="7" t="s">
        <v>2993</v>
      </c>
      <c r="T1" s="17" t="s">
        <v>1165</v>
      </c>
      <c r="U1" s="2" t="s">
        <v>3563</v>
      </c>
    </row>
    <row r="2" spans="1:21" x14ac:dyDescent="0.2">
      <c r="A2" s="3">
        <v>1</v>
      </c>
      <c r="B2" s="5" t="s">
        <v>147</v>
      </c>
      <c r="C2" s="5" t="s">
        <v>1168</v>
      </c>
      <c r="D2" s="5" t="s">
        <v>1169</v>
      </c>
      <c r="E2" s="18" t="s">
        <v>930</v>
      </c>
      <c r="G2" s="6" t="s">
        <v>1713</v>
      </c>
      <c r="H2" s="6" t="s">
        <v>930</v>
      </c>
      <c r="J2" s="19" t="s">
        <v>677</v>
      </c>
      <c r="K2" s="20" t="s">
        <v>3388</v>
      </c>
      <c r="M2" s="10" t="s">
        <v>3706</v>
      </c>
      <c r="O2" s="12" t="s">
        <v>1677</v>
      </c>
      <c r="T2" s="12" t="s">
        <v>1713</v>
      </c>
      <c r="U2" s="5" t="s">
        <v>1713</v>
      </c>
    </row>
    <row r="3" spans="1:21" x14ac:dyDescent="0.2">
      <c r="A3" s="3">
        <v>2</v>
      </c>
      <c r="B3" s="5" t="s">
        <v>148</v>
      </c>
      <c r="C3" s="5" t="s">
        <v>1168</v>
      </c>
      <c r="D3" s="5" t="s">
        <v>1169</v>
      </c>
      <c r="E3" s="18" t="s">
        <v>931</v>
      </c>
      <c r="G3" s="6" t="s">
        <v>1713</v>
      </c>
      <c r="H3" s="6" t="s">
        <v>931</v>
      </c>
      <c r="J3" s="19" t="s">
        <v>678</v>
      </c>
      <c r="K3" s="20" t="s">
        <v>3550</v>
      </c>
      <c r="M3" s="10" t="s">
        <v>3550</v>
      </c>
      <c r="O3" s="12" t="s">
        <v>1804</v>
      </c>
      <c r="P3" s="20" t="s">
        <v>1767</v>
      </c>
      <c r="R3" s="10" t="s">
        <v>1767</v>
      </c>
      <c r="T3" s="12" t="s">
        <v>1767</v>
      </c>
      <c r="U3" s="5" t="s">
        <v>1767</v>
      </c>
    </row>
    <row r="4" spans="1:21" x14ac:dyDescent="0.2">
      <c r="A4" s="3">
        <v>3</v>
      </c>
      <c r="B4" s="5" t="s">
        <v>149</v>
      </c>
      <c r="C4" s="5" t="s">
        <v>1168</v>
      </c>
      <c r="D4" s="5" t="s">
        <v>1169</v>
      </c>
      <c r="E4" s="18" t="s">
        <v>932</v>
      </c>
      <c r="G4" s="6" t="s">
        <v>1713</v>
      </c>
      <c r="H4" s="6" t="s">
        <v>932</v>
      </c>
      <c r="J4" s="19" t="s">
        <v>679</v>
      </c>
      <c r="K4" s="20" t="s">
        <v>3550</v>
      </c>
      <c r="M4" s="10" t="s">
        <v>3550</v>
      </c>
      <c r="O4" s="12" t="s">
        <v>1804</v>
      </c>
      <c r="P4" s="20" t="s">
        <v>1768</v>
      </c>
      <c r="R4" s="10" t="s">
        <v>1768</v>
      </c>
      <c r="T4" s="12" t="s">
        <v>1768</v>
      </c>
      <c r="U4" s="5" t="s">
        <v>1768</v>
      </c>
    </row>
    <row r="5" spans="1:21" x14ac:dyDescent="0.2">
      <c r="A5" s="3">
        <v>4</v>
      </c>
      <c r="B5" s="5" t="s">
        <v>150</v>
      </c>
      <c r="C5" s="5" t="s">
        <v>1170</v>
      </c>
      <c r="E5" s="18" t="s">
        <v>933</v>
      </c>
      <c r="F5" s="4" t="s">
        <v>907</v>
      </c>
      <c r="G5" s="6" t="s">
        <v>1713</v>
      </c>
      <c r="H5" s="6" t="s">
        <v>933</v>
      </c>
      <c r="J5" s="19" t="s">
        <v>680</v>
      </c>
      <c r="K5" s="20" t="s">
        <v>3390</v>
      </c>
      <c r="L5" s="21" t="s">
        <v>1155</v>
      </c>
      <c r="M5" s="10" t="s">
        <v>3707</v>
      </c>
      <c r="O5" s="12" t="s">
        <v>1677</v>
      </c>
      <c r="P5" s="20" t="s">
        <v>1713</v>
      </c>
      <c r="R5" s="10" t="s">
        <v>1713</v>
      </c>
      <c r="T5" s="12" t="s">
        <v>1713</v>
      </c>
      <c r="U5" s="5" t="s">
        <v>1713</v>
      </c>
    </row>
    <row r="6" spans="1:21" x14ac:dyDescent="0.2">
      <c r="A6" s="3">
        <v>5</v>
      </c>
      <c r="B6" s="5" t="s">
        <v>151</v>
      </c>
      <c r="C6" s="5" t="s">
        <v>1170</v>
      </c>
      <c r="E6" s="18" t="s">
        <v>934</v>
      </c>
      <c r="F6" s="4" t="s">
        <v>908</v>
      </c>
      <c r="G6" s="6" t="s">
        <v>1713</v>
      </c>
      <c r="H6" s="6" t="s">
        <v>934</v>
      </c>
      <c r="J6" s="19" t="s">
        <v>681</v>
      </c>
      <c r="K6" s="20" t="s">
        <v>3550</v>
      </c>
      <c r="L6" s="21" t="s">
        <v>3550</v>
      </c>
      <c r="M6" s="10" t="s">
        <v>3550</v>
      </c>
      <c r="O6" s="12" t="s">
        <v>1804</v>
      </c>
      <c r="P6" s="20" t="s">
        <v>1102</v>
      </c>
      <c r="Q6" s="21" t="s">
        <v>1102</v>
      </c>
      <c r="R6" s="10" t="s">
        <v>1102</v>
      </c>
      <c r="T6" s="12" t="s">
        <v>1102</v>
      </c>
      <c r="U6" s="5" t="s">
        <v>1102</v>
      </c>
    </row>
    <row r="7" spans="1:21" x14ac:dyDescent="0.2">
      <c r="A7" s="3">
        <v>6</v>
      </c>
      <c r="B7" s="5" t="s">
        <v>152</v>
      </c>
      <c r="C7" s="5" t="s">
        <v>1170</v>
      </c>
      <c r="D7" s="5" t="s">
        <v>1171</v>
      </c>
      <c r="E7" s="18" t="s">
        <v>935</v>
      </c>
      <c r="F7" s="4" t="s">
        <v>909</v>
      </c>
      <c r="G7" s="6" t="s">
        <v>1713</v>
      </c>
      <c r="H7" s="6" t="s">
        <v>935</v>
      </c>
      <c r="J7" s="19" t="s">
        <v>682</v>
      </c>
      <c r="K7" s="20" t="s">
        <v>3509</v>
      </c>
      <c r="L7" s="21" t="s">
        <v>3550</v>
      </c>
      <c r="M7" s="10" t="s">
        <v>3550</v>
      </c>
      <c r="O7" s="12" t="s">
        <v>1804</v>
      </c>
      <c r="P7" s="20" t="s">
        <v>1769</v>
      </c>
      <c r="Q7" s="21" t="s">
        <v>3562</v>
      </c>
      <c r="R7" s="10" t="s">
        <v>1769</v>
      </c>
      <c r="T7" s="12" t="s">
        <v>1769</v>
      </c>
      <c r="U7" s="5" t="s">
        <v>1769</v>
      </c>
    </row>
    <row r="8" spans="1:21" x14ac:dyDescent="0.2">
      <c r="A8" s="3">
        <v>7</v>
      </c>
      <c r="B8" s="5" t="s">
        <v>153</v>
      </c>
      <c r="C8" s="5" t="s">
        <v>1172</v>
      </c>
      <c r="E8" s="18" t="s">
        <v>936</v>
      </c>
      <c r="G8" s="6" t="s">
        <v>1713</v>
      </c>
      <c r="H8" s="6" t="s">
        <v>936</v>
      </c>
      <c r="J8" s="19" t="s">
        <v>683</v>
      </c>
      <c r="K8" s="20" t="s">
        <v>3391</v>
      </c>
      <c r="M8" s="10" t="s">
        <v>3708</v>
      </c>
      <c r="O8" s="12" t="s">
        <v>1800</v>
      </c>
      <c r="P8" s="20" t="s">
        <v>1713</v>
      </c>
      <c r="R8" s="10" t="s">
        <v>1713</v>
      </c>
      <c r="T8" s="12" t="s">
        <v>1713</v>
      </c>
      <c r="U8" s="5" t="s">
        <v>1713</v>
      </c>
    </row>
    <row r="9" spans="1:21" x14ac:dyDescent="0.2">
      <c r="A9" s="3">
        <v>8</v>
      </c>
      <c r="B9" s="5" t="s">
        <v>154</v>
      </c>
      <c r="C9" s="5" t="s">
        <v>1172</v>
      </c>
      <c r="E9" s="18" t="s">
        <v>937</v>
      </c>
      <c r="G9" s="6" t="s">
        <v>1713</v>
      </c>
      <c r="H9" s="6" t="s">
        <v>937</v>
      </c>
      <c r="J9" s="19" t="s">
        <v>684</v>
      </c>
      <c r="K9" s="20" t="s">
        <v>3550</v>
      </c>
      <c r="M9" s="10" t="s">
        <v>3550</v>
      </c>
      <c r="O9" s="12" t="s">
        <v>1804</v>
      </c>
      <c r="P9" s="20" t="s">
        <v>1770</v>
      </c>
      <c r="R9" s="10" t="s">
        <v>1770</v>
      </c>
      <c r="T9" s="12" t="s">
        <v>1770</v>
      </c>
      <c r="U9" s="5" t="s">
        <v>1770</v>
      </c>
    </row>
    <row r="10" spans="1:21" x14ac:dyDescent="0.2">
      <c r="A10" s="3">
        <v>9</v>
      </c>
      <c r="B10" s="5" t="s">
        <v>155</v>
      </c>
      <c r="C10" s="5" t="s">
        <v>1172</v>
      </c>
      <c r="E10" s="18" t="s">
        <v>538</v>
      </c>
      <c r="G10" s="6" t="s">
        <v>1713</v>
      </c>
      <c r="H10" s="6" t="s">
        <v>538</v>
      </c>
      <c r="J10" s="19" t="s">
        <v>685</v>
      </c>
      <c r="K10" s="20" t="s">
        <v>3550</v>
      </c>
      <c r="M10" s="10" t="s">
        <v>3550</v>
      </c>
      <c r="O10" s="12" t="s">
        <v>1804</v>
      </c>
      <c r="P10" s="20" t="s">
        <v>1771</v>
      </c>
      <c r="R10" s="10" t="s">
        <v>1771</v>
      </c>
      <c r="T10" s="12" t="s">
        <v>1771</v>
      </c>
      <c r="U10" s="5" t="s">
        <v>1771</v>
      </c>
    </row>
    <row r="11" spans="1:21" x14ac:dyDescent="0.2">
      <c r="A11" s="3">
        <v>10</v>
      </c>
      <c r="B11" s="5" t="s">
        <v>244</v>
      </c>
      <c r="C11" s="5" t="s">
        <v>1173</v>
      </c>
      <c r="E11" s="18" t="s">
        <v>539</v>
      </c>
      <c r="F11" s="4" t="s">
        <v>542</v>
      </c>
      <c r="G11" s="6" t="s">
        <v>1713</v>
      </c>
      <c r="H11" s="6" t="s">
        <v>539</v>
      </c>
      <c r="K11" s="20" t="s">
        <v>3391</v>
      </c>
      <c r="L11" s="21" t="s">
        <v>2512</v>
      </c>
      <c r="M11" s="10" t="s">
        <v>3796</v>
      </c>
      <c r="P11" s="20" t="s">
        <v>1713</v>
      </c>
      <c r="R11" s="10" t="s">
        <v>1713</v>
      </c>
      <c r="U11" s="5" t="s">
        <v>1713</v>
      </c>
    </row>
    <row r="12" spans="1:21" x14ac:dyDescent="0.2">
      <c r="A12" s="3">
        <v>11</v>
      </c>
      <c r="B12" s="5" t="s">
        <v>245</v>
      </c>
      <c r="C12" s="5" t="s">
        <v>1173</v>
      </c>
      <c r="E12" s="18" t="s">
        <v>540</v>
      </c>
      <c r="F12" s="4" t="s">
        <v>543</v>
      </c>
      <c r="G12" s="6" t="s">
        <v>1713</v>
      </c>
      <c r="H12" s="6" t="s">
        <v>540</v>
      </c>
      <c r="K12" s="20" t="s">
        <v>3387</v>
      </c>
      <c r="L12" s="21" t="s">
        <v>2513</v>
      </c>
      <c r="M12" s="10" t="s">
        <v>3550</v>
      </c>
      <c r="P12" s="20" t="s">
        <v>954</v>
      </c>
      <c r="Q12" s="21" t="s">
        <v>954</v>
      </c>
      <c r="R12" s="10" t="s">
        <v>954</v>
      </c>
      <c r="U12" s="5" t="s">
        <v>954</v>
      </c>
    </row>
    <row r="13" spans="1:21" x14ac:dyDescent="0.2">
      <c r="A13" s="3">
        <v>12</v>
      </c>
      <c r="B13" s="5" t="s">
        <v>246</v>
      </c>
      <c r="C13" s="5" t="s">
        <v>1173</v>
      </c>
      <c r="D13" s="5" t="s">
        <v>1171</v>
      </c>
      <c r="E13" s="18" t="s">
        <v>541</v>
      </c>
      <c r="F13" s="4" t="s">
        <v>544</v>
      </c>
      <c r="G13" s="6" t="s">
        <v>1713</v>
      </c>
      <c r="H13" s="6" t="s">
        <v>541</v>
      </c>
      <c r="K13" s="20" t="s">
        <v>3486</v>
      </c>
      <c r="L13" s="21" t="s">
        <v>2514</v>
      </c>
      <c r="M13" s="10" t="s">
        <v>3550</v>
      </c>
      <c r="P13" s="20" t="s">
        <v>955</v>
      </c>
      <c r="Q13" s="21" t="s">
        <v>955</v>
      </c>
      <c r="R13" s="10" t="s">
        <v>955</v>
      </c>
      <c r="U13" s="5" t="s">
        <v>955</v>
      </c>
    </row>
    <row r="14" spans="1:21" x14ac:dyDescent="0.2">
      <c r="A14" s="3">
        <v>13</v>
      </c>
      <c r="B14" s="5" t="s">
        <v>17</v>
      </c>
      <c r="C14" s="5" t="s">
        <v>1173</v>
      </c>
      <c r="D14" s="5" t="s">
        <v>1169</v>
      </c>
      <c r="E14" s="18" t="s">
        <v>542</v>
      </c>
      <c r="G14" s="6" t="s">
        <v>1713</v>
      </c>
      <c r="H14" s="6" t="s">
        <v>542</v>
      </c>
      <c r="J14" s="19" t="s">
        <v>547</v>
      </c>
      <c r="K14" s="20" t="s">
        <v>3394</v>
      </c>
      <c r="M14" s="10" t="s">
        <v>3780</v>
      </c>
      <c r="O14" s="12" t="s">
        <v>1679</v>
      </c>
      <c r="P14" s="20" t="s">
        <v>1713</v>
      </c>
      <c r="R14" s="10" t="s">
        <v>1713</v>
      </c>
      <c r="T14" s="12" t="s">
        <v>1713</v>
      </c>
      <c r="U14" s="5" t="s">
        <v>1713</v>
      </c>
    </row>
    <row r="15" spans="1:21" x14ac:dyDescent="0.2">
      <c r="A15" s="3">
        <v>14</v>
      </c>
      <c r="B15" s="5" t="s">
        <v>18</v>
      </c>
      <c r="C15" s="5" t="s">
        <v>1173</v>
      </c>
      <c r="D15" s="5" t="s">
        <v>1169</v>
      </c>
      <c r="E15" s="18" t="s">
        <v>543</v>
      </c>
      <c r="G15" s="6" t="s">
        <v>1713</v>
      </c>
      <c r="H15" s="6" t="s">
        <v>543</v>
      </c>
      <c r="J15" s="19" t="s">
        <v>548</v>
      </c>
      <c r="K15" s="20" t="s">
        <v>3387</v>
      </c>
      <c r="M15" s="10" t="s">
        <v>3550</v>
      </c>
      <c r="O15" s="12" t="s">
        <v>1680</v>
      </c>
      <c r="P15" s="20" t="s">
        <v>1724</v>
      </c>
      <c r="R15" s="10" t="s">
        <v>1724</v>
      </c>
      <c r="T15" s="12" t="s">
        <v>1724</v>
      </c>
      <c r="U15" s="5" t="s">
        <v>1724</v>
      </c>
    </row>
    <row r="16" spans="1:21" x14ac:dyDescent="0.2">
      <c r="A16" s="3">
        <v>15</v>
      </c>
      <c r="B16" s="5" t="s">
        <v>19</v>
      </c>
      <c r="C16" s="5" t="s">
        <v>1173</v>
      </c>
      <c r="D16" s="5" t="s">
        <v>1169</v>
      </c>
      <c r="E16" s="18" t="s">
        <v>544</v>
      </c>
      <c r="G16" s="6" t="s">
        <v>1713</v>
      </c>
      <c r="H16" s="6" t="s">
        <v>544</v>
      </c>
      <c r="J16" s="19" t="s">
        <v>549</v>
      </c>
      <c r="K16" s="20" t="s">
        <v>3487</v>
      </c>
      <c r="M16" s="10" t="s">
        <v>3550</v>
      </c>
      <c r="O16" s="13" t="s">
        <v>2394</v>
      </c>
      <c r="P16" s="20" t="s">
        <v>1725</v>
      </c>
      <c r="R16" s="10" t="s">
        <v>1725</v>
      </c>
      <c r="T16" s="12" t="s">
        <v>1725</v>
      </c>
      <c r="U16" s="5" t="s">
        <v>1725</v>
      </c>
    </row>
    <row r="17" spans="1:21" x14ac:dyDescent="0.2">
      <c r="A17" s="3">
        <v>16</v>
      </c>
      <c r="B17" s="5" t="s">
        <v>20</v>
      </c>
      <c r="C17" s="5" t="s">
        <v>1174</v>
      </c>
      <c r="D17" s="5" t="s">
        <v>1171</v>
      </c>
      <c r="E17" s="18" t="s">
        <v>545</v>
      </c>
      <c r="G17" s="6" t="s">
        <v>1713</v>
      </c>
      <c r="H17" s="6" t="s">
        <v>545</v>
      </c>
      <c r="J17" s="19" t="s">
        <v>550</v>
      </c>
      <c r="K17" s="20" t="s">
        <v>3395</v>
      </c>
      <c r="M17" s="10" t="s">
        <v>3709</v>
      </c>
      <c r="O17" s="13" t="s">
        <v>1700</v>
      </c>
      <c r="P17" s="20" t="s">
        <v>1713</v>
      </c>
      <c r="R17" s="10" t="s">
        <v>1713</v>
      </c>
      <c r="T17" s="12" t="s">
        <v>1713</v>
      </c>
      <c r="U17" s="5" t="s">
        <v>1713</v>
      </c>
    </row>
    <row r="18" spans="1:21" x14ac:dyDescent="0.2">
      <c r="A18" s="3">
        <v>17</v>
      </c>
      <c r="B18" s="5" t="s">
        <v>21</v>
      </c>
      <c r="C18" s="5" t="s">
        <v>1174</v>
      </c>
      <c r="D18" s="5" t="s">
        <v>1171</v>
      </c>
      <c r="E18" s="18" t="s">
        <v>546</v>
      </c>
      <c r="G18" s="6" t="s">
        <v>1713</v>
      </c>
      <c r="H18" s="6" t="s">
        <v>546</v>
      </c>
      <c r="J18" s="19" t="s">
        <v>551</v>
      </c>
      <c r="K18" s="20" t="s">
        <v>3505</v>
      </c>
      <c r="M18" s="10" t="s">
        <v>3550</v>
      </c>
      <c r="O18" s="13" t="s">
        <v>1684</v>
      </c>
      <c r="P18" s="20" t="s">
        <v>1726</v>
      </c>
      <c r="R18" s="10" t="s">
        <v>1726</v>
      </c>
      <c r="T18" s="12" t="s">
        <v>1726</v>
      </c>
      <c r="U18" s="5" t="s">
        <v>1726</v>
      </c>
    </row>
    <row r="19" spans="1:21" x14ac:dyDescent="0.2">
      <c r="A19" s="3">
        <v>18</v>
      </c>
      <c r="B19" s="5" t="s">
        <v>22</v>
      </c>
      <c r="C19" s="5" t="s">
        <v>1174</v>
      </c>
      <c r="D19" s="5" t="s">
        <v>1171</v>
      </c>
      <c r="E19" s="18" t="s">
        <v>547</v>
      </c>
      <c r="G19" s="6" t="s">
        <v>1713</v>
      </c>
      <c r="H19" s="6" t="s">
        <v>547</v>
      </c>
      <c r="J19" s="19" t="s">
        <v>552</v>
      </c>
      <c r="K19" s="20" t="s">
        <v>3505</v>
      </c>
      <c r="M19" s="10" t="s">
        <v>3550</v>
      </c>
      <c r="O19" s="13" t="s">
        <v>1792</v>
      </c>
      <c r="P19" s="20" t="s">
        <v>1727</v>
      </c>
      <c r="R19" s="10" t="s">
        <v>1727</v>
      </c>
      <c r="T19" s="12" t="s">
        <v>1727</v>
      </c>
      <c r="U19" s="5" t="s">
        <v>1727</v>
      </c>
    </row>
    <row r="20" spans="1:21" x14ac:dyDescent="0.2">
      <c r="A20" s="3">
        <v>19</v>
      </c>
      <c r="B20" s="5" t="s">
        <v>1175</v>
      </c>
      <c r="C20" s="5" t="s">
        <v>1174</v>
      </c>
      <c r="E20" s="18" t="s">
        <v>548</v>
      </c>
      <c r="G20" s="6" t="s">
        <v>1713</v>
      </c>
      <c r="H20" s="6" t="s">
        <v>548</v>
      </c>
      <c r="K20" s="20" t="s">
        <v>3507</v>
      </c>
      <c r="M20" s="10" t="s">
        <v>3710</v>
      </c>
      <c r="P20" s="20" t="s">
        <v>1713</v>
      </c>
      <c r="R20" s="10" t="s">
        <v>1713</v>
      </c>
      <c r="U20" s="5" t="s">
        <v>1713</v>
      </c>
    </row>
    <row r="21" spans="1:21" x14ac:dyDescent="0.2">
      <c r="A21" s="3">
        <v>20</v>
      </c>
      <c r="B21" s="5" t="s">
        <v>1176</v>
      </c>
      <c r="C21" s="5" t="s">
        <v>1174</v>
      </c>
      <c r="E21" s="18" t="s">
        <v>549</v>
      </c>
      <c r="G21" s="6" t="s">
        <v>1713</v>
      </c>
      <c r="H21" s="6" t="s">
        <v>549</v>
      </c>
      <c r="K21" s="20" t="s">
        <v>3508</v>
      </c>
      <c r="M21" s="10" t="s">
        <v>3710</v>
      </c>
      <c r="P21" s="20" t="s">
        <v>3431</v>
      </c>
      <c r="R21" s="10" t="s">
        <v>3431</v>
      </c>
      <c r="U21" s="5" t="s">
        <v>3431</v>
      </c>
    </row>
    <row r="22" spans="1:21" x14ac:dyDescent="0.2">
      <c r="A22" s="3">
        <v>21</v>
      </c>
      <c r="B22" s="5" t="s">
        <v>1177</v>
      </c>
      <c r="C22" s="5" t="s">
        <v>1174</v>
      </c>
      <c r="D22" s="5" t="s">
        <v>1171</v>
      </c>
      <c r="E22" s="18" t="s">
        <v>550</v>
      </c>
      <c r="G22" s="6" t="s">
        <v>1713</v>
      </c>
      <c r="H22" s="6" t="s">
        <v>550</v>
      </c>
      <c r="K22" s="20" t="s">
        <v>3470</v>
      </c>
      <c r="M22" s="10" t="s">
        <v>3710</v>
      </c>
      <c r="P22" s="20" t="s">
        <v>1713</v>
      </c>
      <c r="R22" s="10" t="s">
        <v>1713</v>
      </c>
      <c r="U22" s="5" t="s">
        <v>1713</v>
      </c>
    </row>
    <row r="23" spans="1:21" x14ac:dyDescent="0.2">
      <c r="A23" s="3">
        <v>22</v>
      </c>
      <c r="B23" s="5" t="s">
        <v>1178</v>
      </c>
      <c r="C23" s="5" t="s">
        <v>1174</v>
      </c>
      <c r="D23" s="5" t="s">
        <v>1171</v>
      </c>
      <c r="E23" s="18" t="s">
        <v>551</v>
      </c>
      <c r="G23" s="6" t="s">
        <v>1713</v>
      </c>
      <c r="H23" s="6" t="s">
        <v>551</v>
      </c>
      <c r="K23" s="20" t="s">
        <v>3471</v>
      </c>
      <c r="M23" s="10" t="s">
        <v>3808</v>
      </c>
      <c r="P23" s="20" t="s">
        <v>3433</v>
      </c>
      <c r="R23" s="10" t="s">
        <v>3433</v>
      </c>
      <c r="U23" s="5" t="s">
        <v>3433</v>
      </c>
    </row>
    <row r="24" spans="1:21" x14ac:dyDescent="0.2">
      <c r="A24" s="3">
        <v>23</v>
      </c>
      <c r="B24" s="5" t="s">
        <v>59</v>
      </c>
      <c r="C24" s="5" t="s">
        <v>1169</v>
      </c>
      <c r="E24" s="18" t="s">
        <v>552</v>
      </c>
      <c r="G24" s="6" t="s">
        <v>1713</v>
      </c>
      <c r="H24" s="6" t="s">
        <v>552</v>
      </c>
      <c r="J24" s="19" t="s">
        <v>589</v>
      </c>
      <c r="K24" s="20" t="s">
        <v>3488</v>
      </c>
      <c r="M24" s="10" t="s">
        <v>3797</v>
      </c>
      <c r="O24" s="13" t="s">
        <v>2392</v>
      </c>
      <c r="P24" s="20" t="s">
        <v>1713</v>
      </c>
      <c r="R24" s="10" t="s">
        <v>1713</v>
      </c>
      <c r="T24" s="12" t="s">
        <v>1713</v>
      </c>
      <c r="U24" s="5" t="s">
        <v>1713</v>
      </c>
    </row>
    <row r="25" spans="1:21" x14ac:dyDescent="0.2">
      <c r="A25" s="3">
        <v>24</v>
      </c>
      <c r="B25" s="5" t="s">
        <v>60</v>
      </c>
      <c r="C25" s="5" t="s">
        <v>1169</v>
      </c>
      <c r="E25" s="18" t="s">
        <v>553</v>
      </c>
      <c r="G25" s="6" t="s">
        <v>1713</v>
      </c>
      <c r="H25" s="6" t="s">
        <v>553</v>
      </c>
      <c r="J25" s="19" t="s">
        <v>590</v>
      </c>
      <c r="K25" s="20" t="s">
        <v>3550</v>
      </c>
      <c r="M25" s="10" t="s">
        <v>3550</v>
      </c>
      <c r="O25" s="13" t="s">
        <v>1804</v>
      </c>
      <c r="P25" s="20" t="s">
        <v>1749</v>
      </c>
      <c r="R25" s="10" t="s">
        <v>1749</v>
      </c>
      <c r="T25" s="12" t="s">
        <v>1749</v>
      </c>
      <c r="U25" s="5" t="s">
        <v>1749</v>
      </c>
    </row>
    <row r="26" spans="1:21" x14ac:dyDescent="0.2">
      <c r="A26" s="3">
        <v>25</v>
      </c>
      <c r="B26" s="5" t="s">
        <v>52</v>
      </c>
      <c r="C26" s="5" t="s">
        <v>1179</v>
      </c>
      <c r="E26" s="18" t="s">
        <v>554</v>
      </c>
      <c r="F26" s="4" t="s">
        <v>723</v>
      </c>
      <c r="G26" s="6" t="s">
        <v>633</v>
      </c>
      <c r="H26" s="6" t="s">
        <v>554</v>
      </c>
      <c r="I26" s="11" t="s">
        <v>603</v>
      </c>
      <c r="J26" s="19" t="s">
        <v>582</v>
      </c>
      <c r="K26" s="20" t="s">
        <v>3387</v>
      </c>
      <c r="L26" s="21" t="s">
        <v>2633</v>
      </c>
      <c r="M26" s="10" t="s">
        <v>3818</v>
      </c>
      <c r="N26" s="9" t="s">
        <v>3161</v>
      </c>
      <c r="O26" s="13" t="s">
        <v>1681</v>
      </c>
      <c r="Q26" s="21" t="s">
        <v>1733</v>
      </c>
      <c r="R26" s="10" t="s">
        <v>1733</v>
      </c>
      <c r="S26" s="9" t="s">
        <v>1733</v>
      </c>
      <c r="T26" s="12" t="s">
        <v>1733</v>
      </c>
      <c r="U26" s="5" t="s">
        <v>1733</v>
      </c>
    </row>
    <row r="27" spans="1:21" x14ac:dyDescent="0.2">
      <c r="A27" s="3">
        <v>26</v>
      </c>
      <c r="B27" s="5" t="s">
        <v>53</v>
      </c>
      <c r="C27" s="5" t="s">
        <v>1179</v>
      </c>
      <c r="E27" s="18" t="s">
        <v>555</v>
      </c>
      <c r="F27" s="4" t="s">
        <v>724</v>
      </c>
      <c r="G27" s="6" t="s">
        <v>634</v>
      </c>
      <c r="H27" s="6" t="s">
        <v>555</v>
      </c>
      <c r="I27" s="11" t="s">
        <v>604</v>
      </c>
      <c r="J27" s="19" t="s">
        <v>583</v>
      </c>
      <c r="K27" s="20" t="s">
        <v>3550</v>
      </c>
      <c r="L27" s="21" t="s">
        <v>3550</v>
      </c>
      <c r="M27" s="10" t="s">
        <v>3550</v>
      </c>
      <c r="N27" s="9" t="s">
        <v>3162</v>
      </c>
      <c r="O27" s="13" t="s">
        <v>1804</v>
      </c>
      <c r="P27" s="20" t="s">
        <v>1041</v>
      </c>
      <c r="Q27" s="21" t="s">
        <v>1041</v>
      </c>
      <c r="R27" s="10" t="s">
        <v>1041</v>
      </c>
      <c r="S27" s="9" t="s">
        <v>1041</v>
      </c>
      <c r="T27" s="12" t="s">
        <v>1041</v>
      </c>
      <c r="U27" s="5" t="s">
        <v>1041</v>
      </c>
    </row>
    <row r="28" spans="1:21" x14ac:dyDescent="0.2">
      <c r="A28" s="3">
        <v>27</v>
      </c>
      <c r="B28" s="5" t="s">
        <v>1180</v>
      </c>
      <c r="C28" s="5" t="s">
        <v>1181</v>
      </c>
      <c r="E28" s="18" t="s">
        <v>556</v>
      </c>
      <c r="G28" s="6" t="s">
        <v>1713</v>
      </c>
      <c r="H28" s="6" t="s">
        <v>556</v>
      </c>
      <c r="K28" s="20" t="s">
        <v>3484</v>
      </c>
      <c r="M28" s="10" t="s">
        <v>3780</v>
      </c>
      <c r="P28" s="20" t="s">
        <v>1713</v>
      </c>
      <c r="R28" s="10" t="s">
        <v>1713</v>
      </c>
      <c r="U28" s="5" t="s">
        <v>1713</v>
      </c>
    </row>
    <row r="29" spans="1:21" x14ac:dyDescent="0.2">
      <c r="A29" s="3">
        <v>28</v>
      </c>
      <c r="B29" s="5" t="s">
        <v>1182</v>
      </c>
      <c r="C29" s="5" t="s">
        <v>1181</v>
      </c>
      <c r="E29" s="18" t="s">
        <v>557</v>
      </c>
      <c r="G29" s="6" t="s">
        <v>1713</v>
      </c>
      <c r="H29" s="6" t="s">
        <v>557</v>
      </c>
      <c r="K29" s="20" t="s">
        <v>3550</v>
      </c>
      <c r="M29" s="10" t="s">
        <v>3780</v>
      </c>
      <c r="P29" s="20" t="s">
        <v>3434</v>
      </c>
      <c r="R29" s="10" t="s">
        <v>3434</v>
      </c>
      <c r="U29" s="5" t="s">
        <v>3434</v>
      </c>
    </row>
    <row r="30" spans="1:21" x14ac:dyDescent="0.2">
      <c r="A30" s="3">
        <v>29</v>
      </c>
      <c r="B30" s="5" t="s">
        <v>1183</v>
      </c>
      <c r="C30" s="5" t="s">
        <v>1169</v>
      </c>
      <c r="E30" s="18" t="s">
        <v>558</v>
      </c>
      <c r="G30" s="6" t="s">
        <v>1713</v>
      </c>
      <c r="H30" s="6" t="s">
        <v>558</v>
      </c>
      <c r="K30" s="20" t="s">
        <v>3471</v>
      </c>
      <c r="M30" s="10" t="s">
        <v>3706</v>
      </c>
      <c r="P30" s="20" t="s">
        <v>1713</v>
      </c>
      <c r="R30" s="10" t="s">
        <v>1713</v>
      </c>
      <c r="U30" s="5" t="s">
        <v>1713</v>
      </c>
    </row>
    <row r="31" spans="1:21" x14ac:dyDescent="0.2">
      <c r="A31" s="3">
        <v>30</v>
      </c>
      <c r="B31" s="5" t="s">
        <v>1184</v>
      </c>
      <c r="C31" s="5" t="s">
        <v>1169</v>
      </c>
      <c r="E31" s="18" t="s">
        <v>559</v>
      </c>
      <c r="G31" s="6" t="s">
        <v>1713</v>
      </c>
      <c r="H31" s="6" t="s">
        <v>559</v>
      </c>
      <c r="K31" s="20" t="s">
        <v>3471</v>
      </c>
      <c r="M31" s="10" t="s">
        <v>3706</v>
      </c>
      <c r="P31" s="20" t="s">
        <v>3437</v>
      </c>
      <c r="R31" s="10" t="s">
        <v>3437</v>
      </c>
      <c r="U31" s="5" t="s">
        <v>3437</v>
      </c>
    </row>
    <row r="32" spans="1:21" x14ac:dyDescent="0.2">
      <c r="A32" s="3">
        <v>31</v>
      </c>
      <c r="B32" s="5" t="s">
        <v>1185</v>
      </c>
      <c r="C32" s="5" t="s">
        <v>1169</v>
      </c>
      <c r="D32" s="5" t="s">
        <v>1181</v>
      </c>
      <c r="E32" s="18" t="s">
        <v>560</v>
      </c>
      <c r="G32" s="6" t="s">
        <v>1713</v>
      </c>
      <c r="H32" s="6" t="s">
        <v>560</v>
      </c>
      <c r="K32" s="20" t="s">
        <v>3474</v>
      </c>
      <c r="M32" s="10" t="s">
        <v>3550</v>
      </c>
      <c r="P32" s="20" t="s">
        <v>3436</v>
      </c>
      <c r="R32" s="10" t="s">
        <v>3436</v>
      </c>
      <c r="U32" s="5" t="s">
        <v>3436</v>
      </c>
    </row>
    <row r="33" spans="1:21" x14ac:dyDescent="0.2">
      <c r="A33" s="3">
        <v>32</v>
      </c>
      <c r="B33" s="5" t="s">
        <v>1186</v>
      </c>
      <c r="C33" s="5" t="s">
        <v>1169</v>
      </c>
      <c r="E33" s="18" t="s">
        <v>561</v>
      </c>
      <c r="G33" s="6" t="s">
        <v>1713</v>
      </c>
      <c r="H33" s="6" t="s">
        <v>561</v>
      </c>
      <c r="K33" s="20" t="s">
        <v>3471</v>
      </c>
      <c r="M33" s="10" t="s">
        <v>3706</v>
      </c>
      <c r="P33" s="20" t="s">
        <v>1713</v>
      </c>
      <c r="R33" s="10" t="s">
        <v>1713</v>
      </c>
      <c r="U33" s="5" t="s">
        <v>1713</v>
      </c>
    </row>
    <row r="34" spans="1:21" x14ac:dyDescent="0.2">
      <c r="A34" s="3">
        <v>33</v>
      </c>
      <c r="B34" s="5" t="s">
        <v>1187</v>
      </c>
      <c r="C34" s="5" t="s">
        <v>1169</v>
      </c>
      <c r="E34" s="18" t="s">
        <v>562</v>
      </c>
      <c r="G34" s="6" t="s">
        <v>1713</v>
      </c>
      <c r="H34" s="6" t="s">
        <v>562</v>
      </c>
      <c r="K34" s="20" t="s">
        <v>3471</v>
      </c>
      <c r="M34" s="10" t="s">
        <v>3706</v>
      </c>
      <c r="P34" s="20" t="s">
        <v>3438</v>
      </c>
      <c r="R34" s="10" t="s">
        <v>3438</v>
      </c>
      <c r="U34" s="5" t="s">
        <v>3438</v>
      </c>
    </row>
    <row r="35" spans="1:21" x14ac:dyDescent="0.2">
      <c r="A35" s="3">
        <v>34</v>
      </c>
      <c r="B35" s="5" t="s">
        <v>1188</v>
      </c>
      <c r="C35" s="5" t="s">
        <v>1169</v>
      </c>
      <c r="D35" s="5" t="s">
        <v>1181</v>
      </c>
      <c r="E35" s="18" t="s">
        <v>563</v>
      </c>
      <c r="G35" s="6" t="s">
        <v>1713</v>
      </c>
      <c r="H35" s="6" t="s">
        <v>563</v>
      </c>
      <c r="K35" s="20" t="s">
        <v>3474</v>
      </c>
      <c r="M35" s="10" t="s">
        <v>3550</v>
      </c>
      <c r="P35" s="20" t="s">
        <v>3439</v>
      </c>
      <c r="R35" s="10" t="s">
        <v>3439</v>
      </c>
      <c r="U35" s="5" t="s">
        <v>3439</v>
      </c>
    </row>
    <row r="36" spans="1:21" x14ac:dyDescent="0.2">
      <c r="A36" s="3">
        <v>35</v>
      </c>
      <c r="B36" s="5" t="s">
        <v>55</v>
      </c>
      <c r="C36" s="5" t="s">
        <v>1189</v>
      </c>
      <c r="E36" s="18" t="s">
        <v>564</v>
      </c>
      <c r="F36" s="4" t="s">
        <v>784</v>
      </c>
      <c r="G36" s="6" t="s">
        <v>629</v>
      </c>
      <c r="H36" s="6" t="s">
        <v>564</v>
      </c>
      <c r="J36" s="19" t="s">
        <v>585</v>
      </c>
      <c r="K36" s="20" t="s">
        <v>3393</v>
      </c>
      <c r="L36" s="21" t="s">
        <v>2666</v>
      </c>
      <c r="M36" s="10" t="s">
        <v>3819</v>
      </c>
      <c r="O36" s="13" t="s">
        <v>2397</v>
      </c>
      <c r="Q36" s="21" t="s">
        <v>1136</v>
      </c>
      <c r="R36" s="10" t="s">
        <v>1136</v>
      </c>
      <c r="T36" s="12" t="s">
        <v>1136</v>
      </c>
      <c r="U36" s="5" t="s">
        <v>1136</v>
      </c>
    </row>
    <row r="37" spans="1:21" x14ac:dyDescent="0.2">
      <c r="A37" s="3">
        <v>36</v>
      </c>
      <c r="B37" s="5" t="s">
        <v>56</v>
      </c>
      <c r="C37" s="5" t="s">
        <v>1189</v>
      </c>
      <c r="E37" s="18" t="s">
        <v>565</v>
      </c>
      <c r="F37" s="4" t="s">
        <v>785</v>
      </c>
      <c r="G37" s="6" t="s">
        <v>630</v>
      </c>
      <c r="H37" s="6" t="s">
        <v>565</v>
      </c>
      <c r="J37" s="19" t="s">
        <v>586</v>
      </c>
      <c r="K37" s="20" t="s">
        <v>3475</v>
      </c>
      <c r="L37" s="21" t="s">
        <v>2667</v>
      </c>
      <c r="M37" s="10" t="s">
        <v>3550</v>
      </c>
      <c r="O37" s="13" t="s">
        <v>1804</v>
      </c>
      <c r="P37" s="20" t="s">
        <v>1063</v>
      </c>
      <c r="Q37" s="21" t="s">
        <v>1063</v>
      </c>
      <c r="R37" s="10" t="s">
        <v>1063</v>
      </c>
      <c r="T37" s="12" t="s">
        <v>1063</v>
      </c>
      <c r="U37" s="5" t="s">
        <v>1063</v>
      </c>
    </row>
    <row r="38" spans="1:21" x14ac:dyDescent="0.2">
      <c r="A38" s="3">
        <v>37</v>
      </c>
      <c r="B38" s="5" t="s">
        <v>292</v>
      </c>
      <c r="C38" s="5" t="s">
        <v>1170</v>
      </c>
      <c r="E38" s="18" t="s">
        <v>566</v>
      </c>
      <c r="F38" s="4" t="s">
        <v>597</v>
      </c>
      <c r="G38" s="6" t="s">
        <v>1713</v>
      </c>
      <c r="H38" s="6" t="s">
        <v>566</v>
      </c>
      <c r="K38" s="20" t="s">
        <v>3506</v>
      </c>
      <c r="L38" s="21" t="s">
        <v>2556</v>
      </c>
      <c r="M38" s="10" t="s">
        <v>3780</v>
      </c>
      <c r="R38" s="10" t="s">
        <v>1713</v>
      </c>
      <c r="U38" s="5" t="s">
        <v>1713</v>
      </c>
    </row>
    <row r="39" spans="1:21" x14ac:dyDescent="0.2">
      <c r="A39" s="3">
        <v>38</v>
      </c>
      <c r="B39" s="5" t="s">
        <v>293</v>
      </c>
      <c r="C39" s="5" t="s">
        <v>1170</v>
      </c>
      <c r="E39" s="18" t="s">
        <v>567</v>
      </c>
      <c r="F39" s="4" t="s">
        <v>598</v>
      </c>
      <c r="G39" s="6" t="s">
        <v>1713</v>
      </c>
      <c r="H39" s="6" t="s">
        <v>567</v>
      </c>
      <c r="K39" s="20" t="s">
        <v>3489</v>
      </c>
      <c r="L39" s="21" t="s">
        <v>2555</v>
      </c>
      <c r="M39" s="10" t="s">
        <v>3550</v>
      </c>
      <c r="P39" s="20" t="s">
        <v>984</v>
      </c>
      <c r="Q39" s="21" t="s">
        <v>984</v>
      </c>
      <c r="R39" s="10" t="s">
        <v>984</v>
      </c>
      <c r="U39" s="5" t="s">
        <v>984</v>
      </c>
    </row>
    <row r="40" spans="1:21" x14ac:dyDescent="0.2">
      <c r="A40" s="3">
        <v>39</v>
      </c>
      <c r="B40" s="5" t="s">
        <v>1190</v>
      </c>
      <c r="C40" s="5" t="s">
        <v>1174</v>
      </c>
      <c r="D40" s="5" t="s">
        <v>1189</v>
      </c>
      <c r="E40" s="18" t="s">
        <v>568</v>
      </c>
      <c r="G40" s="6" t="s">
        <v>1713</v>
      </c>
      <c r="H40" s="6" t="s">
        <v>568</v>
      </c>
      <c r="I40" s="11" t="s">
        <v>589</v>
      </c>
      <c r="K40" s="20" t="s">
        <v>3505</v>
      </c>
      <c r="M40" s="10" t="s">
        <v>3711</v>
      </c>
      <c r="N40" s="9" t="s">
        <v>3149</v>
      </c>
      <c r="R40" s="10" t="s">
        <v>3026</v>
      </c>
      <c r="S40" s="9" t="s">
        <v>3026</v>
      </c>
      <c r="U40" s="5" t="s">
        <v>3026</v>
      </c>
    </row>
    <row r="41" spans="1:21" x14ac:dyDescent="0.2">
      <c r="A41" s="3">
        <v>40</v>
      </c>
      <c r="B41" s="5" t="s">
        <v>1191</v>
      </c>
      <c r="C41" s="5" t="s">
        <v>1174</v>
      </c>
      <c r="D41" s="5" t="s">
        <v>1189</v>
      </c>
      <c r="E41" s="18" t="s">
        <v>569</v>
      </c>
      <c r="G41" s="6" t="s">
        <v>1713</v>
      </c>
      <c r="H41" s="6" t="s">
        <v>569</v>
      </c>
      <c r="I41" s="11" t="s">
        <v>590</v>
      </c>
      <c r="K41" s="20" t="s">
        <v>3550</v>
      </c>
      <c r="M41" s="10" t="s">
        <v>3550</v>
      </c>
      <c r="N41" s="9" t="s">
        <v>3150</v>
      </c>
      <c r="P41" s="20" t="s">
        <v>3027</v>
      </c>
      <c r="R41" s="10" t="s">
        <v>3027</v>
      </c>
      <c r="S41" s="9" t="s">
        <v>3027</v>
      </c>
      <c r="U41" s="5" t="s">
        <v>3027</v>
      </c>
    </row>
    <row r="42" spans="1:21" x14ac:dyDescent="0.2">
      <c r="A42" s="3">
        <v>41</v>
      </c>
      <c r="B42" s="5" t="s">
        <v>1192</v>
      </c>
      <c r="C42" s="5" t="s">
        <v>1169</v>
      </c>
      <c r="D42" s="5" t="s">
        <v>1171</v>
      </c>
      <c r="E42" s="18" t="s">
        <v>570</v>
      </c>
      <c r="G42" s="6" t="s">
        <v>557</v>
      </c>
      <c r="H42" s="6" t="s">
        <v>570</v>
      </c>
      <c r="K42" s="20" t="s">
        <v>3477</v>
      </c>
      <c r="M42" s="10" t="s">
        <v>3712</v>
      </c>
      <c r="P42" s="20" t="s">
        <v>1713</v>
      </c>
      <c r="R42" s="10" t="s">
        <v>1713</v>
      </c>
      <c r="U42" s="5" t="s">
        <v>1713</v>
      </c>
    </row>
    <row r="43" spans="1:21" x14ac:dyDescent="0.2">
      <c r="A43" s="3">
        <v>42</v>
      </c>
      <c r="B43" s="5" t="s">
        <v>1193</v>
      </c>
      <c r="C43" s="5" t="s">
        <v>1169</v>
      </c>
      <c r="D43" s="5" t="s">
        <v>1171</v>
      </c>
      <c r="E43" s="18" t="s">
        <v>571</v>
      </c>
      <c r="G43" s="6" t="s">
        <v>558</v>
      </c>
      <c r="H43" s="6" t="s">
        <v>571</v>
      </c>
      <c r="K43" s="20" t="s">
        <v>3478</v>
      </c>
      <c r="M43" s="10" t="s">
        <v>3713</v>
      </c>
      <c r="P43" s="20" t="s">
        <v>3442</v>
      </c>
      <c r="R43" s="10" t="s">
        <v>3442</v>
      </c>
      <c r="U43" s="5" t="s">
        <v>3442</v>
      </c>
    </row>
    <row r="44" spans="1:21" x14ac:dyDescent="0.2">
      <c r="A44" s="3">
        <v>43</v>
      </c>
      <c r="B44" s="5" t="s">
        <v>284</v>
      </c>
      <c r="C44" s="5" t="s">
        <v>1168</v>
      </c>
      <c r="D44" s="5" t="s">
        <v>1169</v>
      </c>
      <c r="E44" s="18" t="s">
        <v>572</v>
      </c>
      <c r="F44" s="4" t="s">
        <v>584</v>
      </c>
      <c r="G44" s="6" t="s">
        <v>1713</v>
      </c>
      <c r="H44" s="6" t="s">
        <v>572</v>
      </c>
      <c r="K44" s="20" t="s">
        <v>3490</v>
      </c>
      <c r="L44" s="21" t="s">
        <v>2545</v>
      </c>
      <c r="M44" s="10" t="s">
        <v>3710</v>
      </c>
      <c r="R44" s="10" t="s">
        <v>1713</v>
      </c>
      <c r="U44" s="5" t="s">
        <v>1713</v>
      </c>
    </row>
    <row r="45" spans="1:21" x14ac:dyDescent="0.2">
      <c r="A45" s="3">
        <v>44</v>
      </c>
      <c r="B45" s="5" t="s">
        <v>285</v>
      </c>
      <c r="C45" s="5" t="s">
        <v>1168</v>
      </c>
      <c r="D45" s="5" t="s">
        <v>1169</v>
      </c>
      <c r="E45" s="18" t="s">
        <v>573</v>
      </c>
      <c r="F45" s="4" t="s">
        <v>585</v>
      </c>
      <c r="G45" s="6" t="s">
        <v>1713</v>
      </c>
      <c r="H45" s="6" t="s">
        <v>573</v>
      </c>
      <c r="K45" s="20" t="s">
        <v>3504</v>
      </c>
      <c r="L45" s="21" t="s">
        <v>2546</v>
      </c>
      <c r="M45" s="10" t="s">
        <v>3710</v>
      </c>
      <c r="P45" s="20" t="s">
        <v>978</v>
      </c>
      <c r="Q45" s="21" t="s">
        <v>978</v>
      </c>
      <c r="R45" s="10" t="s">
        <v>978</v>
      </c>
      <c r="U45" s="5" t="s">
        <v>978</v>
      </c>
    </row>
    <row r="46" spans="1:21" x14ac:dyDescent="0.2">
      <c r="A46" s="3">
        <v>45</v>
      </c>
      <c r="B46" s="5" t="s">
        <v>286</v>
      </c>
      <c r="C46" s="5" t="s">
        <v>1168</v>
      </c>
      <c r="D46" s="5" t="s">
        <v>1169</v>
      </c>
      <c r="E46" s="18" t="s">
        <v>574</v>
      </c>
      <c r="F46" s="4" t="s">
        <v>586</v>
      </c>
      <c r="G46" s="6" t="s">
        <v>1713</v>
      </c>
      <c r="H46" s="6" t="s">
        <v>574</v>
      </c>
      <c r="K46" s="20" t="s">
        <v>3491</v>
      </c>
      <c r="L46" s="21" t="s">
        <v>2547</v>
      </c>
      <c r="M46" s="10" t="s">
        <v>3550</v>
      </c>
      <c r="P46" s="20" t="s">
        <v>979</v>
      </c>
      <c r="Q46" s="21" t="s">
        <v>979</v>
      </c>
      <c r="R46" s="10" t="s">
        <v>979</v>
      </c>
      <c r="U46" s="5" t="s">
        <v>979</v>
      </c>
    </row>
    <row r="47" spans="1:21" x14ac:dyDescent="0.2">
      <c r="A47" s="3">
        <v>46</v>
      </c>
      <c r="B47" s="5" t="s">
        <v>1194</v>
      </c>
      <c r="C47" s="5" t="s">
        <v>1173</v>
      </c>
      <c r="D47" s="5" t="s">
        <v>1168</v>
      </c>
      <c r="E47" s="18" t="s">
        <v>575</v>
      </c>
      <c r="G47" s="6" t="s">
        <v>1713</v>
      </c>
      <c r="H47" s="6" t="s">
        <v>575</v>
      </c>
      <c r="K47" s="20" t="s">
        <v>3480</v>
      </c>
      <c r="M47" s="10" t="s">
        <v>3706</v>
      </c>
      <c r="P47" s="20" t="s">
        <v>1713</v>
      </c>
      <c r="R47" s="10" t="s">
        <v>1713</v>
      </c>
      <c r="U47" s="5" t="s">
        <v>1713</v>
      </c>
    </row>
    <row r="48" spans="1:21" x14ac:dyDescent="0.2">
      <c r="A48" s="3">
        <v>47</v>
      </c>
      <c r="B48" s="5" t="s">
        <v>1195</v>
      </c>
      <c r="C48" s="5" t="s">
        <v>1173</v>
      </c>
      <c r="D48" s="5" t="s">
        <v>1168</v>
      </c>
      <c r="E48" s="18" t="s">
        <v>576</v>
      </c>
      <c r="G48" s="6" t="s">
        <v>1713</v>
      </c>
      <c r="H48" s="6" t="s">
        <v>576</v>
      </c>
      <c r="K48" s="20" t="s">
        <v>3550</v>
      </c>
      <c r="M48" s="10" t="s">
        <v>3550</v>
      </c>
      <c r="P48" s="20" t="s">
        <v>3445</v>
      </c>
      <c r="R48" s="10" t="s">
        <v>3445</v>
      </c>
      <c r="U48" s="5" t="s">
        <v>3445</v>
      </c>
    </row>
    <row r="49" spans="1:21" x14ac:dyDescent="0.2">
      <c r="A49" s="3">
        <v>48</v>
      </c>
      <c r="B49" s="5" t="s">
        <v>1196</v>
      </c>
      <c r="C49" s="5" t="s">
        <v>1173</v>
      </c>
      <c r="D49" s="5" t="s">
        <v>1169</v>
      </c>
      <c r="E49" s="18" t="s">
        <v>577</v>
      </c>
      <c r="G49" s="6" t="s">
        <v>1713</v>
      </c>
      <c r="H49" s="6" t="s">
        <v>577</v>
      </c>
      <c r="I49" s="11" t="s">
        <v>785</v>
      </c>
      <c r="K49" s="20" t="s">
        <v>3481</v>
      </c>
      <c r="M49" s="10" t="s">
        <v>3710</v>
      </c>
      <c r="N49" s="9" t="s">
        <v>3262</v>
      </c>
      <c r="R49" s="10" t="s">
        <v>1713</v>
      </c>
      <c r="U49" s="5" t="s">
        <v>1713</v>
      </c>
    </row>
    <row r="50" spans="1:21" x14ac:dyDescent="0.2">
      <c r="A50" s="3">
        <v>49</v>
      </c>
      <c r="B50" s="5" t="s">
        <v>1197</v>
      </c>
      <c r="C50" s="5" t="s">
        <v>1173</v>
      </c>
      <c r="D50" s="5" t="s">
        <v>1169</v>
      </c>
      <c r="E50" s="18" t="s">
        <v>578</v>
      </c>
      <c r="G50" s="6" t="s">
        <v>1713</v>
      </c>
      <c r="H50" s="6" t="s">
        <v>578</v>
      </c>
      <c r="I50" s="11" t="s">
        <v>786</v>
      </c>
      <c r="K50" s="20" t="s">
        <v>3481</v>
      </c>
      <c r="M50" s="10" t="s">
        <v>3710</v>
      </c>
      <c r="N50" s="9" t="s">
        <v>3296</v>
      </c>
      <c r="P50" s="20" t="s">
        <v>3082</v>
      </c>
      <c r="R50" s="10" t="s">
        <v>3082</v>
      </c>
      <c r="S50" s="9" t="s">
        <v>3082</v>
      </c>
      <c r="U50" s="5" t="s">
        <v>3082</v>
      </c>
    </row>
    <row r="51" spans="1:21" x14ac:dyDescent="0.2">
      <c r="A51" s="3">
        <v>50</v>
      </c>
      <c r="B51" s="5" t="s">
        <v>365</v>
      </c>
      <c r="C51" s="5" t="s">
        <v>1181</v>
      </c>
      <c r="E51" s="18" t="s">
        <v>579</v>
      </c>
      <c r="F51" s="4" t="s">
        <v>693</v>
      </c>
      <c r="G51" s="6" t="s">
        <v>1713</v>
      </c>
      <c r="H51" s="6" t="s">
        <v>579</v>
      </c>
      <c r="I51" s="11" t="s">
        <v>677</v>
      </c>
      <c r="K51" s="20" t="s">
        <v>3477</v>
      </c>
      <c r="L51" s="21" t="s">
        <v>2520</v>
      </c>
      <c r="M51" s="10" t="s">
        <v>3820</v>
      </c>
      <c r="N51" s="9" t="s">
        <v>3172</v>
      </c>
      <c r="R51" s="10" t="s">
        <v>1713</v>
      </c>
      <c r="U51" s="5" t="s">
        <v>1713</v>
      </c>
    </row>
    <row r="52" spans="1:21" x14ac:dyDescent="0.2">
      <c r="A52" s="3">
        <v>51</v>
      </c>
      <c r="B52" s="5" t="s">
        <v>366</v>
      </c>
      <c r="C52" s="5" t="s">
        <v>1181</v>
      </c>
      <c r="E52" s="18" t="s">
        <v>580</v>
      </c>
      <c r="F52" s="4" t="s">
        <v>694</v>
      </c>
      <c r="G52" s="6" t="s">
        <v>1713</v>
      </c>
      <c r="H52" s="6" t="s">
        <v>580</v>
      </c>
      <c r="I52" s="11" t="s">
        <v>678</v>
      </c>
      <c r="K52" s="20" t="s">
        <v>3477</v>
      </c>
      <c r="L52" s="21" t="s">
        <v>2621</v>
      </c>
      <c r="M52" s="10" t="s">
        <v>3821</v>
      </c>
      <c r="N52" s="9" t="s">
        <v>3172</v>
      </c>
      <c r="P52" s="20" t="s">
        <v>1028</v>
      </c>
      <c r="R52" s="10" t="s">
        <v>1028</v>
      </c>
      <c r="S52" s="9" t="s">
        <v>1028</v>
      </c>
      <c r="U52" s="5" t="s">
        <v>1028</v>
      </c>
    </row>
    <row r="53" spans="1:21" x14ac:dyDescent="0.2">
      <c r="A53" s="3">
        <v>52</v>
      </c>
      <c r="B53" s="5" t="s">
        <v>378</v>
      </c>
      <c r="C53" s="5" t="s">
        <v>1174</v>
      </c>
      <c r="E53" s="18" t="s">
        <v>581</v>
      </c>
      <c r="F53" s="4" t="s">
        <v>711</v>
      </c>
      <c r="G53" s="6" t="s">
        <v>1713</v>
      </c>
      <c r="H53" s="6" t="s">
        <v>581</v>
      </c>
      <c r="I53" s="11" t="s">
        <v>670</v>
      </c>
      <c r="K53" s="20" t="s">
        <v>3492</v>
      </c>
      <c r="L53" s="21" t="s">
        <v>1150</v>
      </c>
      <c r="M53" s="10" t="s">
        <v>3711</v>
      </c>
      <c r="N53" s="9" t="s">
        <v>3214</v>
      </c>
      <c r="R53" s="10" t="s">
        <v>1713</v>
      </c>
      <c r="U53" s="5" t="s">
        <v>1713</v>
      </c>
    </row>
    <row r="54" spans="1:21" x14ac:dyDescent="0.2">
      <c r="A54" s="3">
        <v>53</v>
      </c>
      <c r="B54" s="5" t="s">
        <v>380</v>
      </c>
      <c r="C54" s="5" t="s">
        <v>1174</v>
      </c>
      <c r="E54" s="18" t="s">
        <v>582</v>
      </c>
      <c r="F54" s="4" t="s">
        <v>713</v>
      </c>
      <c r="G54" s="6" t="s">
        <v>1713</v>
      </c>
      <c r="H54" s="6" t="s">
        <v>582</v>
      </c>
      <c r="I54" s="11" t="s">
        <v>671</v>
      </c>
      <c r="K54" s="20" t="s">
        <v>3485</v>
      </c>
      <c r="L54" s="21" t="s">
        <v>3550</v>
      </c>
      <c r="M54" s="10" t="s">
        <v>3550</v>
      </c>
      <c r="N54" s="9" t="s">
        <v>3215</v>
      </c>
      <c r="P54" s="20" t="s">
        <v>1037</v>
      </c>
      <c r="Q54" s="21" t="s">
        <v>1037</v>
      </c>
      <c r="R54" s="10" t="s">
        <v>1037</v>
      </c>
      <c r="S54" s="9" t="s">
        <v>1037</v>
      </c>
      <c r="U54" s="5" t="s">
        <v>1037</v>
      </c>
    </row>
    <row r="55" spans="1:21" x14ac:dyDescent="0.2">
      <c r="A55" s="3">
        <v>54</v>
      </c>
      <c r="B55" s="5" t="s">
        <v>1198</v>
      </c>
      <c r="C55" s="5" t="s">
        <v>1172</v>
      </c>
      <c r="E55" s="18" t="s">
        <v>583</v>
      </c>
      <c r="G55" s="6" t="s">
        <v>572</v>
      </c>
      <c r="H55" s="6" t="s">
        <v>583</v>
      </c>
      <c r="I55" s="11" t="s">
        <v>584</v>
      </c>
      <c r="K55" s="20" t="s">
        <v>3482</v>
      </c>
      <c r="M55" s="10" t="s">
        <v>3710</v>
      </c>
      <c r="N55" s="9" t="s">
        <v>3136</v>
      </c>
      <c r="R55" s="10" t="s">
        <v>1713</v>
      </c>
      <c r="U55" s="5" t="s">
        <v>1713</v>
      </c>
    </row>
    <row r="56" spans="1:21" x14ac:dyDescent="0.2">
      <c r="A56" s="3">
        <v>55</v>
      </c>
      <c r="B56" s="5" t="s">
        <v>1199</v>
      </c>
      <c r="C56" s="5" t="s">
        <v>1172</v>
      </c>
      <c r="E56" s="18" t="s">
        <v>584</v>
      </c>
      <c r="G56" s="6" t="s">
        <v>573</v>
      </c>
      <c r="H56" s="6" t="s">
        <v>584</v>
      </c>
      <c r="I56" s="11" t="s">
        <v>585</v>
      </c>
      <c r="K56" s="20" t="s">
        <v>3483</v>
      </c>
      <c r="M56" s="10" t="s">
        <v>3547</v>
      </c>
      <c r="N56" s="9" t="s">
        <v>3145</v>
      </c>
      <c r="P56" s="20" t="s">
        <v>3049</v>
      </c>
      <c r="R56" s="10" t="s">
        <v>3049</v>
      </c>
      <c r="S56" s="9" t="s">
        <v>3049</v>
      </c>
      <c r="U56" s="5" t="s">
        <v>3049</v>
      </c>
    </row>
    <row r="57" spans="1:21" x14ac:dyDescent="0.2">
      <c r="A57" s="3">
        <v>56</v>
      </c>
      <c r="B57" s="5" t="s">
        <v>1200</v>
      </c>
      <c r="C57" s="5" t="s">
        <v>1201</v>
      </c>
      <c r="E57" s="18" t="s">
        <v>585</v>
      </c>
      <c r="G57" s="6" t="s">
        <v>1713</v>
      </c>
      <c r="H57" s="6" t="s">
        <v>585</v>
      </c>
      <c r="I57" s="11" t="s">
        <v>687</v>
      </c>
      <c r="K57" s="20" t="s">
        <v>3484</v>
      </c>
      <c r="M57" s="10" t="s">
        <v>3710</v>
      </c>
      <c r="N57" s="9" t="s">
        <v>3227</v>
      </c>
      <c r="R57" s="10" t="s">
        <v>1713</v>
      </c>
      <c r="U57" s="5" t="s">
        <v>1713</v>
      </c>
    </row>
    <row r="58" spans="1:21" x14ac:dyDescent="0.2">
      <c r="A58" s="3">
        <v>57</v>
      </c>
      <c r="B58" s="5" t="s">
        <v>1202</v>
      </c>
      <c r="C58" s="5" t="s">
        <v>1201</v>
      </c>
      <c r="E58" s="18" t="s">
        <v>586</v>
      </c>
      <c r="G58" s="6" t="s">
        <v>1713</v>
      </c>
      <c r="H58" s="6" t="s">
        <v>586</v>
      </c>
      <c r="I58" s="11" t="s">
        <v>688</v>
      </c>
      <c r="K58" s="20" t="s">
        <v>3550</v>
      </c>
      <c r="M58" s="10" t="s">
        <v>3710</v>
      </c>
      <c r="N58" s="9" t="s">
        <v>3228</v>
      </c>
      <c r="P58" s="20" t="s">
        <v>3030</v>
      </c>
      <c r="R58" s="10" t="s">
        <v>3030</v>
      </c>
      <c r="S58" s="9" t="s">
        <v>3030</v>
      </c>
      <c r="U58" s="5" t="s">
        <v>3030</v>
      </c>
    </row>
    <row r="59" spans="1:21" x14ac:dyDescent="0.2">
      <c r="A59" s="3">
        <v>58</v>
      </c>
      <c r="B59" s="5" t="s">
        <v>294</v>
      </c>
      <c r="C59" s="5" t="s">
        <v>1170</v>
      </c>
      <c r="E59" s="18" t="s">
        <v>587</v>
      </c>
      <c r="F59" s="4" t="s">
        <v>599</v>
      </c>
      <c r="G59" s="6" t="s">
        <v>1713</v>
      </c>
      <c r="H59" s="6" t="s">
        <v>587</v>
      </c>
      <c r="I59" s="11" t="s">
        <v>742</v>
      </c>
      <c r="K59" s="20" t="s">
        <v>3503</v>
      </c>
      <c r="L59" s="21" t="s">
        <v>2557</v>
      </c>
      <c r="M59" s="10" t="s">
        <v>3796</v>
      </c>
      <c r="N59" s="9" t="s">
        <v>3267</v>
      </c>
      <c r="R59" s="10" t="s">
        <v>1713</v>
      </c>
      <c r="U59" s="5" t="s">
        <v>1713</v>
      </c>
    </row>
    <row r="60" spans="1:21" x14ac:dyDescent="0.2">
      <c r="A60" s="3">
        <v>59</v>
      </c>
      <c r="B60" s="5" t="s">
        <v>295</v>
      </c>
      <c r="C60" s="5" t="s">
        <v>1170</v>
      </c>
      <c r="E60" s="18" t="s">
        <v>588</v>
      </c>
      <c r="F60" s="4" t="s">
        <v>600</v>
      </c>
      <c r="G60" s="6" t="s">
        <v>1713</v>
      </c>
      <c r="H60" s="6" t="s">
        <v>588</v>
      </c>
      <c r="I60" s="11" t="s">
        <v>743</v>
      </c>
      <c r="K60" s="20" t="s">
        <v>3493</v>
      </c>
      <c r="L60" s="21" t="s">
        <v>2558</v>
      </c>
      <c r="M60" s="10" t="s">
        <v>3550</v>
      </c>
      <c r="N60" s="9" t="s">
        <v>3268</v>
      </c>
      <c r="P60" s="20" t="s">
        <v>985</v>
      </c>
      <c r="Q60" s="21" t="s">
        <v>985</v>
      </c>
      <c r="R60" s="10" t="s">
        <v>985</v>
      </c>
      <c r="S60" s="9" t="s">
        <v>985</v>
      </c>
      <c r="U60" s="5" t="s">
        <v>985</v>
      </c>
    </row>
    <row r="61" spans="1:21" x14ac:dyDescent="0.2">
      <c r="A61" s="3">
        <v>60</v>
      </c>
      <c r="B61" s="5" t="s">
        <v>1203</v>
      </c>
      <c r="C61" s="5" t="s">
        <v>1172</v>
      </c>
      <c r="E61" s="18" t="s">
        <v>589</v>
      </c>
      <c r="G61" s="6" t="s">
        <v>1713</v>
      </c>
      <c r="H61" s="6" t="s">
        <v>589</v>
      </c>
      <c r="K61" s="20" t="s">
        <v>3529</v>
      </c>
      <c r="M61" s="10" t="s">
        <v>3706</v>
      </c>
      <c r="P61" s="20" t="s">
        <v>1713</v>
      </c>
      <c r="R61" s="10" t="s">
        <v>1713</v>
      </c>
      <c r="U61" s="5" t="s">
        <v>1713</v>
      </c>
    </row>
    <row r="62" spans="1:21" x14ac:dyDescent="0.2">
      <c r="A62" s="3">
        <v>61</v>
      </c>
      <c r="B62" s="5" t="s">
        <v>1204</v>
      </c>
      <c r="C62" s="5" t="s">
        <v>1172</v>
      </c>
      <c r="E62" s="18" t="s">
        <v>590</v>
      </c>
      <c r="G62" s="6" t="s">
        <v>1713</v>
      </c>
      <c r="H62" s="6" t="s">
        <v>590</v>
      </c>
      <c r="K62" s="20" t="s">
        <v>3529</v>
      </c>
      <c r="M62" s="10" t="s">
        <v>3706</v>
      </c>
      <c r="P62" s="20" t="s">
        <v>3450</v>
      </c>
      <c r="R62" s="10" t="s">
        <v>3450</v>
      </c>
      <c r="U62" s="5" t="s">
        <v>3450</v>
      </c>
    </row>
    <row r="63" spans="1:21" x14ac:dyDescent="0.2">
      <c r="A63" s="3">
        <v>62</v>
      </c>
      <c r="B63" s="5" t="s">
        <v>1205</v>
      </c>
      <c r="C63" s="5" t="s">
        <v>1172</v>
      </c>
      <c r="D63" s="5" t="s">
        <v>1201</v>
      </c>
      <c r="E63" s="18" t="s">
        <v>591</v>
      </c>
      <c r="G63" s="6" t="s">
        <v>1713</v>
      </c>
      <c r="H63" s="6" t="s">
        <v>591</v>
      </c>
      <c r="K63" s="20" t="s">
        <v>3530</v>
      </c>
      <c r="M63" s="10" t="s">
        <v>3550</v>
      </c>
      <c r="P63" s="20" t="s">
        <v>3449</v>
      </c>
      <c r="R63" s="10" t="s">
        <v>3449</v>
      </c>
      <c r="U63" s="5" t="s">
        <v>3449</v>
      </c>
    </row>
    <row r="64" spans="1:21" x14ac:dyDescent="0.2">
      <c r="A64" s="3">
        <v>63</v>
      </c>
      <c r="B64" s="5" t="s">
        <v>61</v>
      </c>
      <c r="C64" s="5" t="s">
        <v>1206</v>
      </c>
      <c r="E64" s="18" t="s">
        <v>592</v>
      </c>
      <c r="G64" s="6" t="s">
        <v>549</v>
      </c>
      <c r="H64" s="6" t="s">
        <v>592</v>
      </c>
      <c r="J64" s="19" t="s">
        <v>591</v>
      </c>
      <c r="K64" s="20" t="s">
        <v>3396</v>
      </c>
      <c r="M64" s="10" t="s">
        <v>3822</v>
      </c>
      <c r="O64" s="13" t="s">
        <v>1684</v>
      </c>
      <c r="P64" s="20" t="s">
        <v>1713</v>
      </c>
      <c r="R64" s="10" t="s">
        <v>1713</v>
      </c>
      <c r="T64" s="12" t="s">
        <v>1713</v>
      </c>
      <c r="U64" s="5" t="s">
        <v>1713</v>
      </c>
    </row>
    <row r="65" spans="1:21" x14ac:dyDescent="0.2">
      <c r="A65" s="3">
        <v>64</v>
      </c>
      <c r="B65" s="5" t="s">
        <v>62</v>
      </c>
      <c r="C65" s="5" t="s">
        <v>1206</v>
      </c>
      <c r="E65" s="18" t="s">
        <v>593</v>
      </c>
      <c r="G65" s="6" t="s">
        <v>550</v>
      </c>
      <c r="H65" s="6" t="s">
        <v>593</v>
      </c>
      <c r="J65" s="19" t="s">
        <v>592</v>
      </c>
      <c r="K65" s="20" t="s">
        <v>3476</v>
      </c>
      <c r="M65" s="10" t="s">
        <v>3714</v>
      </c>
      <c r="O65" s="13" t="s">
        <v>2408</v>
      </c>
      <c r="P65" s="20" t="s">
        <v>1750</v>
      </c>
      <c r="R65" s="10" t="s">
        <v>1750</v>
      </c>
      <c r="T65" s="12" t="s">
        <v>1750</v>
      </c>
      <c r="U65" s="5" t="s">
        <v>1750</v>
      </c>
    </row>
    <row r="66" spans="1:21" x14ac:dyDescent="0.2">
      <c r="A66" s="3">
        <v>65</v>
      </c>
      <c r="B66" s="5" t="s">
        <v>63</v>
      </c>
      <c r="C66" s="5" t="s">
        <v>1206</v>
      </c>
      <c r="E66" s="18" t="s">
        <v>594</v>
      </c>
      <c r="G66" s="6" t="s">
        <v>551</v>
      </c>
      <c r="H66" s="6" t="s">
        <v>594</v>
      </c>
      <c r="J66" s="19" t="s">
        <v>593</v>
      </c>
      <c r="K66" s="20" t="s">
        <v>3550</v>
      </c>
      <c r="M66" s="10" t="s">
        <v>3550</v>
      </c>
      <c r="O66" s="13" t="s">
        <v>1804</v>
      </c>
      <c r="P66" s="20" t="s">
        <v>1734</v>
      </c>
      <c r="R66" s="10" t="s">
        <v>1734</v>
      </c>
      <c r="T66" s="12" t="s">
        <v>1734</v>
      </c>
      <c r="U66" s="5" t="s">
        <v>1734</v>
      </c>
    </row>
    <row r="67" spans="1:21" x14ac:dyDescent="0.2">
      <c r="A67" s="3">
        <v>66</v>
      </c>
      <c r="B67" s="5" t="s">
        <v>124</v>
      </c>
      <c r="C67" s="5" t="s">
        <v>1201</v>
      </c>
      <c r="E67" s="18" t="s">
        <v>595</v>
      </c>
      <c r="F67" s="4" t="s">
        <v>667</v>
      </c>
      <c r="G67" s="6" t="s">
        <v>569</v>
      </c>
      <c r="H67" s="6" t="s">
        <v>595</v>
      </c>
      <c r="J67" s="19" t="s">
        <v>654</v>
      </c>
      <c r="K67" s="20" t="s">
        <v>3478</v>
      </c>
      <c r="L67" s="21" t="s">
        <v>2609</v>
      </c>
      <c r="M67" s="10" t="s">
        <v>3710</v>
      </c>
      <c r="O67" s="12" t="s">
        <v>1710</v>
      </c>
      <c r="R67" s="10" t="s">
        <v>1713</v>
      </c>
      <c r="T67" s="12" t="s">
        <v>1713</v>
      </c>
      <c r="U67" s="5" t="s">
        <v>1713</v>
      </c>
    </row>
    <row r="68" spans="1:21" x14ac:dyDescent="0.2">
      <c r="A68" s="3">
        <v>67</v>
      </c>
      <c r="B68" s="5" t="s">
        <v>125</v>
      </c>
      <c r="C68" s="5" t="s">
        <v>1201</v>
      </c>
      <c r="E68" s="18" t="s">
        <v>596</v>
      </c>
      <c r="F68" s="4" t="s">
        <v>668</v>
      </c>
      <c r="G68" s="6" t="s">
        <v>570</v>
      </c>
      <c r="H68" s="6" t="s">
        <v>596</v>
      </c>
      <c r="J68" s="19" t="s">
        <v>655</v>
      </c>
      <c r="K68" s="20" t="s">
        <v>3494</v>
      </c>
      <c r="L68" s="21" t="s">
        <v>2610</v>
      </c>
      <c r="M68" s="10" t="s">
        <v>3715</v>
      </c>
      <c r="O68" s="12" t="s">
        <v>1692</v>
      </c>
      <c r="P68" s="20" t="s">
        <v>1015</v>
      </c>
      <c r="Q68" s="21" t="s">
        <v>1015</v>
      </c>
      <c r="R68" s="10" t="s">
        <v>1015</v>
      </c>
      <c r="T68" s="12" t="s">
        <v>1015</v>
      </c>
      <c r="U68" s="5" t="s">
        <v>1015</v>
      </c>
    </row>
    <row r="69" spans="1:21" x14ac:dyDescent="0.2">
      <c r="A69" s="3">
        <v>68</v>
      </c>
      <c r="B69" s="5" t="s">
        <v>126</v>
      </c>
      <c r="C69" s="5" t="s">
        <v>1201</v>
      </c>
      <c r="E69" s="18" t="s">
        <v>597</v>
      </c>
      <c r="F69" s="4" t="s">
        <v>669</v>
      </c>
      <c r="G69" s="6" t="s">
        <v>571</v>
      </c>
      <c r="H69" s="6" t="s">
        <v>597</v>
      </c>
      <c r="J69" s="19" t="s">
        <v>656</v>
      </c>
      <c r="K69" s="20" t="s">
        <v>3550</v>
      </c>
      <c r="L69" s="21" t="s">
        <v>2611</v>
      </c>
      <c r="M69" s="10" t="s">
        <v>3550</v>
      </c>
      <c r="O69" s="12" t="s">
        <v>1804</v>
      </c>
      <c r="P69" s="20" t="s">
        <v>1016</v>
      </c>
      <c r="Q69" s="21" t="s">
        <v>1016</v>
      </c>
      <c r="R69" s="10" t="s">
        <v>1016</v>
      </c>
      <c r="T69" s="12" t="s">
        <v>1016</v>
      </c>
      <c r="U69" s="5" t="s">
        <v>1016</v>
      </c>
    </row>
    <row r="70" spans="1:21" x14ac:dyDescent="0.2">
      <c r="A70" s="3">
        <v>69</v>
      </c>
      <c r="B70" s="5" t="s">
        <v>73</v>
      </c>
      <c r="C70" s="5" t="s">
        <v>1168</v>
      </c>
      <c r="D70" s="5" t="s">
        <v>1169</v>
      </c>
      <c r="E70" s="18" t="s">
        <v>598</v>
      </c>
      <c r="G70" s="6" t="s">
        <v>1713</v>
      </c>
      <c r="H70" s="6" t="s">
        <v>598</v>
      </c>
      <c r="J70" s="19" t="s">
        <v>603</v>
      </c>
      <c r="K70" s="20" t="s">
        <v>3495</v>
      </c>
      <c r="M70" s="10" t="s">
        <v>3706</v>
      </c>
      <c r="O70" s="13" t="s">
        <v>1704</v>
      </c>
      <c r="P70" s="20" t="s">
        <v>1713</v>
      </c>
      <c r="R70" s="10" t="s">
        <v>1713</v>
      </c>
      <c r="T70" s="12" t="s">
        <v>1713</v>
      </c>
      <c r="U70" s="5" t="s">
        <v>1713</v>
      </c>
    </row>
    <row r="71" spans="1:21" x14ac:dyDescent="0.2">
      <c r="A71" s="3">
        <v>70</v>
      </c>
      <c r="B71" s="5" t="s">
        <v>74</v>
      </c>
      <c r="C71" s="5" t="s">
        <v>1168</v>
      </c>
      <c r="D71" s="5" t="s">
        <v>1169</v>
      </c>
      <c r="E71" s="18" t="s">
        <v>599</v>
      </c>
      <c r="G71" s="6" t="s">
        <v>1713</v>
      </c>
      <c r="H71" s="6" t="s">
        <v>599</v>
      </c>
      <c r="J71" s="19" t="s">
        <v>604</v>
      </c>
      <c r="K71" s="20" t="s">
        <v>3501</v>
      </c>
      <c r="M71" s="10" t="s">
        <v>3706</v>
      </c>
      <c r="O71" s="13" t="s">
        <v>2393</v>
      </c>
      <c r="P71" s="20" t="s">
        <v>1753</v>
      </c>
      <c r="R71" s="10" t="s">
        <v>1753</v>
      </c>
      <c r="T71" s="12" t="s">
        <v>1753</v>
      </c>
      <c r="U71" s="5" t="s">
        <v>1753</v>
      </c>
    </row>
    <row r="72" spans="1:21" x14ac:dyDescent="0.2">
      <c r="A72" s="3">
        <v>71</v>
      </c>
      <c r="B72" s="5" t="s">
        <v>75</v>
      </c>
      <c r="C72" s="5" t="s">
        <v>1168</v>
      </c>
      <c r="D72" s="5" t="s">
        <v>1169</v>
      </c>
      <c r="E72" s="18" t="s">
        <v>600</v>
      </c>
      <c r="G72" s="6" t="s">
        <v>1713</v>
      </c>
      <c r="H72" s="6" t="s">
        <v>600</v>
      </c>
      <c r="J72" s="19" t="s">
        <v>605</v>
      </c>
      <c r="K72" s="20" t="s">
        <v>3496</v>
      </c>
      <c r="M72" s="10" t="s">
        <v>3550</v>
      </c>
      <c r="O72" s="13" t="s">
        <v>1804</v>
      </c>
      <c r="P72" s="20" t="s">
        <v>1735</v>
      </c>
      <c r="R72" s="10" t="s">
        <v>1735</v>
      </c>
      <c r="T72" s="12" t="s">
        <v>1735</v>
      </c>
      <c r="U72" s="5" t="s">
        <v>1735</v>
      </c>
    </row>
    <row r="73" spans="1:21" x14ac:dyDescent="0.2">
      <c r="A73" s="3">
        <v>72</v>
      </c>
      <c r="B73" s="5" t="s">
        <v>1207</v>
      </c>
      <c r="C73" s="5" t="s">
        <v>1172</v>
      </c>
      <c r="D73" s="5" t="s">
        <v>1169</v>
      </c>
      <c r="E73" s="18" t="s">
        <v>601</v>
      </c>
      <c r="G73" s="6" t="s">
        <v>665</v>
      </c>
      <c r="H73" s="6" t="s">
        <v>601</v>
      </c>
      <c r="K73" s="20" t="s">
        <v>3531</v>
      </c>
      <c r="M73" s="10" t="s">
        <v>3716</v>
      </c>
      <c r="P73" s="20" t="s">
        <v>1713</v>
      </c>
      <c r="R73" s="10" t="s">
        <v>1713</v>
      </c>
      <c r="U73" s="5" t="s">
        <v>1713</v>
      </c>
    </row>
    <row r="74" spans="1:21" x14ac:dyDescent="0.2">
      <c r="A74" s="3">
        <v>73</v>
      </c>
      <c r="B74" s="5" t="s">
        <v>1208</v>
      </c>
      <c r="C74" s="5" t="s">
        <v>1172</v>
      </c>
      <c r="D74" s="5" t="s">
        <v>1169</v>
      </c>
      <c r="E74" s="18" t="s">
        <v>602</v>
      </c>
      <c r="G74" s="6" t="s">
        <v>666</v>
      </c>
      <c r="H74" s="6" t="s">
        <v>602</v>
      </c>
      <c r="K74" s="20" t="s">
        <v>3531</v>
      </c>
      <c r="M74" s="10" t="s">
        <v>3717</v>
      </c>
      <c r="P74" s="20" t="s">
        <v>3451</v>
      </c>
      <c r="R74" s="10" t="s">
        <v>3451</v>
      </c>
      <c r="U74" s="5" t="s">
        <v>3451</v>
      </c>
    </row>
    <row r="75" spans="1:21" x14ac:dyDescent="0.2">
      <c r="A75" s="3">
        <v>74</v>
      </c>
      <c r="B75" s="5" t="s">
        <v>1209</v>
      </c>
      <c r="C75" s="5" t="s">
        <v>1210</v>
      </c>
      <c r="D75" s="5" t="s">
        <v>1181</v>
      </c>
      <c r="E75" s="18" t="s">
        <v>603</v>
      </c>
      <c r="G75" s="6" t="s">
        <v>560</v>
      </c>
      <c r="H75" s="6" t="s">
        <v>603</v>
      </c>
      <c r="K75" s="20" t="s">
        <v>3480</v>
      </c>
      <c r="M75" s="10" t="s">
        <v>3710</v>
      </c>
      <c r="P75" s="20" t="s">
        <v>1713</v>
      </c>
      <c r="R75" s="10" t="s">
        <v>1713</v>
      </c>
      <c r="U75" s="5" t="s">
        <v>1713</v>
      </c>
    </row>
    <row r="76" spans="1:21" x14ac:dyDescent="0.2">
      <c r="A76" s="3">
        <v>75</v>
      </c>
      <c r="B76" s="5" t="s">
        <v>1211</v>
      </c>
      <c r="C76" s="5" t="s">
        <v>1210</v>
      </c>
      <c r="D76" s="5" t="s">
        <v>1181</v>
      </c>
      <c r="E76" s="18" t="s">
        <v>604</v>
      </c>
      <c r="G76" s="6" t="s">
        <v>561</v>
      </c>
      <c r="H76" s="6" t="s">
        <v>604</v>
      </c>
      <c r="K76" s="20" t="s">
        <v>3478</v>
      </c>
      <c r="M76" s="10" t="s">
        <v>3718</v>
      </c>
      <c r="P76" s="20" t="s">
        <v>3452</v>
      </c>
      <c r="R76" s="10" t="s">
        <v>3452</v>
      </c>
      <c r="U76" s="5" t="s">
        <v>3452</v>
      </c>
    </row>
    <row r="77" spans="1:21" x14ac:dyDescent="0.2">
      <c r="A77" s="3">
        <v>76</v>
      </c>
      <c r="B77" s="5" t="s">
        <v>1212</v>
      </c>
      <c r="C77" s="5" t="s">
        <v>1210</v>
      </c>
      <c r="D77" s="5" t="s">
        <v>1181</v>
      </c>
      <c r="E77" s="18" t="s">
        <v>605</v>
      </c>
      <c r="G77" s="6" t="s">
        <v>562</v>
      </c>
      <c r="H77" s="6" t="s">
        <v>605</v>
      </c>
      <c r="K77" s="20" t="s">
        <v>3550</v>
      </c>
      <c r="M77" s="10" t="s">
        <v>3550</v>
      </c>
      <c r="P77" s="20" t="s">
        <v>3453</v>
      </c>
      <c r="R77" s="10" t="s">
        <v>3453</v>
      </c>
      <c r="U77" s="5" t="s">
        <v>3453</v>
      </c>
    </row>
    <row r="78" spans="1:21" x14ac:dyDescent="0.2">
      <c r="A78" s="3">
        <v>77</v>
      </c>
      <c r="B78" s="5" t="s">
        <v>534</v>
      </c>
      <c r="C78" s="5" t="s">
        <v>1170</v>
      </c>
      <c r="E78" s="18" t="s">
        <v>606</v>
      </c>
      <c r="G78" s="6" t="s">
        <v>619</v>
      </c>
      <c r="H78" s="6" t="s">
        <v>606</v>
      </c>
      <c r="K78" s="20" t="s">
        <v>3497</v>
      </c>
      <c r="M78" s="10" t="s">
        <v>3809</v>
      </c>
      <c r="P78" s="20" t="s">
        <v>1713</v>
      </c>
      <c r="R78" s="10" t="s">
        <v>1713</v>
      </c>
      <c r="U78" s="5" t="s">
        <v>1713</v>
      </c>
    </row>
    <row r="79" spans="1:21" x14ac:dyDescent="0.2">
      <c r="A79" s="3">
        <v>78</v>
      </c>
      <c r="B79" s="5" t="s">
        <v>533</v>
      </c>
      <c r="C79" s="5" t="s">
        <v>1170</v>
      </c>
      <c r="E79" s="18" t="s">
        <v>607</v>
      </c>
      <c r="G79" s="6" t="s">
        <v>620</v>
      </c>
      <c r="H79" s="6" t="s">
        <v>607</v>
      </c>
      <c r="K79" s="20" t="s">
        <v>3497</v>
      </c>
      <c r="M79" s="10" t="s">
        <v>3550</v>
      </c>
      <c r="P79" s="20" t="s">
        <v>3457</v>
      </c>
      <c r="R79" s="10" t="s">
        <v>3457</v>
      </c>
      <c r="U79" s="5" t="s">
        <v>3457</v>
      </c>
    </row>
    <row r="80" spans="1:21" x14ac:dyDescent="0.2">
      <c r="A80" s="3">
        <v>79</v>
      </c>
      <c r="B80" s="5" t="s">
        <v>136</v>
      </c>
      <c r="C80" s="5" t="s">
        <v>1172</v>
      </c>
      <c r="D80" s="5" t="s">
        <v>1206</v>
      </c>
      <c r="E80" s="18" t="s">
        <v>608</v>
      </c>
      <c r="G80" s="6" t="s">
        <v>1713</v>
      </c>
      <c r="H80" s="6" t="s">
        <v>608</v>
      </c>
      <c r="I80" s="11" t="s">
        <v>853</v>
      </c>
      <c r="J80" s="19" t="s">
        <v>666</v>
      </c>
      <c r="K80" s="20" t="s">
        <v>3498</v>
      </c>
      <c r="M80" s="10" t="s">
        <v>3780</v>
      </c>
      <c r="N80" s="9" t="s">
        <v>3336</v>
      </c>
      <c r="O80" s="12" t="s">
        <v>1797</v>
      </c>
      <c r="R80" s="10" t="s">
        <v>1713</v>
      </c>
      <c r="T80" s="12" t="s">
        <v>1713</v>
      </c>
      <c r="U80" s="5" t="s">
        <v>1713</v>
      </c>
    </row>
    <row r="81" spans="1:21" x14ac:dyDescent="0.2">
      <c r="A81" s="3">
        <v>80</v>
      </c>
      <c r="B81" s="5" t="s">
        <v>137</v>
      </c>
      <c r="C81" s="5" t="s">
        <v>1172</v>
      </c>
      <c r="D81" s="5" t="s">
        <v>1206</v>
      </c>
      <c r="E81" s="18" t="s">
        <v>609</v>
      </c>
      <c r="G81" s="6" t="s">
        <v>1713</v>
      </c>
      <c r="H81" s="6" t="s">
        <v>609</v>
      </c>
      <c r="I81" s="11" t="s">
        <v>854</v>
      </c>
      <c r="J81" s="19" t="s">
        <v>667</v>
      </c>
      <c r="K81" s="20" t="s">
        <v>3498</v>
      </c>
      <c r="M81" s="10" t="s">
        <v>3550</v>
      </c>
      <c r="N81" s="9" t="s">
        <v>3336</v>
      </c>
      <c r="O81" s="12" t="s">
        <v>1804</v>
      </c>
      <c r="P81" s="20" t="s">
        <v>1763</v>
      </c>
      <c r="R81" s="10" t="s">
        <v>1763</v>
      </c>
      <c r="S81" s="9" t="s">
        <v>1763</v>
      </c>
      <c r="T81" s="12" t="s">
        <v>1763</v>
      </c>
      <c r="U81" s="5" t="s">
        <v>1763</v>
      </c>
    </row>
    <row r="82" spans="1:21" x14ac:dyDescent="0.2">
      <c r="A82" s="3">
        <v>81</v>
      </c>
      <c r="B82" s="5" t="s">
        <v>1213</v>
      </c>
      <c r="C82" s="5" t="s">
        <v>1179</v>
      </c>
      <c r="D82" s="5" t="s">
        <v>1214</v>
      </c>
      <c r="E82" s="18" t="s">
        <v>610</v>
      </c>
      <c r="G82" s="6" t="s">
        <v>1713</v>
      </c>
      <c r="H82" s="6" t="s">
        <v>610</v>
      </c>
      <c r="I82" s="11" t="s">
        <v>738</v>
      </c>
      <c r="K82" s="20" t="s">
        <v>3499</v>
      </c>
      <c r="M82" s="10" t="s">
        <v>3823</v>
      </c>
      <c r="N82" s="9" t="s">
        <v>3265</v>
      </c>
      <c r="R82" s="10" t="s">
        <v>1713</v>
      </c>
      <c r="U82" s="5" t="s">
        <v>1713</v>
      </c>
    </row>
    <row r="83" spans="1:21" x14ac:dyDescent="0.2">
      <c r="A83" s="3">
        <v>82</v>
      </c>
      <c r="B83" s="5" t="s">
        <v>1215</v>
      </c>
      <c r="C83" s="5" t="s">
        <v>1179</v>
      </c>
      <c r="D83" s="5" t="s">
        <v>1214</v>
      </c>
      <c r="E83" s="18" t="s">
        <v>611</v>
      </c>
      <c r="G83" s="6" t="s">
        <v>1713</v>
      </c>
      <c r="H83" s="6" t="s">
        <v>611</v>
      </c>
      <c r="I83" s="11" t="s">
        <v>739</v>
      </c>
      <c r="K83" s="20" t="s">
        <v>3499</v>
      </c>
      <c r="M83" s="10" t="s">
        <v>3550</v>
      </c>
      <c r="N83" s="9" t="s">
        <v>3226</v>
      </c>
      <c r="P83" s="20" t="s">
        <v>3017</v>
      </c>
      <c r="R83" s="10" t="s">
        <v>3017</v>
      </c>
      <c r="S83" s="9" t="s">
        <v>3017</v>
      </c>
      <c r="U83" s="5" t="s">
        <v>3017</v>
      </c>
    </row>
    <row r="84" spans="1:21" x14ac:dyDescent="0.2">
      <c r="A84" s="3">
        <v>83</v>
      </c>
      <c r="B84" s="5" t="s">
        <v>1160</v>
      </c>
      <c r="C84" s="5" t="s">
        <v>1174</v>
      </c>
      <c r="D84" s="5" t="s">
        <v>1171</v>
      </c>
      <c r="E84" s="18" t="s">
        <v>612</v>
      </c>
      <c r="G84" s="6" t="s">
        <v>1713</v>
      </c>
      <c r="H84" s="6" t="s">
        <v>612</v>
      </c>
      <c r="K84" s="20" t="s">
        <v>3500</v>
      </c>
      <c r="M84" s="10" t="s">
        <v>3710</v>
      </c>
      <c r="P84" s="20" t="s">
        <v>1713</v>
      </c>
      <c r="R84" s="10" t="s">
        <v>1713</v>
      </c>
      <c r="U84" s="5" t="s">
        <v>1713</v>
      </c>
    </row>
    <row r="85" spans="1:21" x14ac:dyDescent="0.2">
      <c r="A85" s="3">
        <v>84</v>
      </c>
      <c r="B85" s="5" t="s">
        <v>1216</v>
      </c>
      <c r="C85" s="5" t="s">
        <v>1174</v>
      </c>
      <c r="D85" s="5" t="s">
        <v>1171</v>
      </c>
      <c r="E85" s="18" t="s">
        <v>613</v>
      </c>
      <c r="G85" s="6" t="s">
        <v>1713</v>
      </c>
      <c r="H85" s="6" t="s">
        <v>613</v>
      </c>
      <c r="K85" s="20" t="s">
        <v>3502</v>
      </c>
      <c r="M85" s="10" t="s">
        <v>3710</v>
      </c>
      <c r="P85" s="20" t="s">
        <v>1713</v>
      </c>
      <c r="R85" s="10" t="s">
        <v>1713</v>
      </c>
      <c r="U85" s="5" t="s">
        <v>1713</v>
      </c>
    </row>
    <row r="86" spans="1:21" x14ac:dyDescent="0.2">
      <c r="A86" s="3">
        <v>85</v>
      </c>
      <c r="B86" s="5" t="s">
        <v>1217</v>
      </c>
      <c r="C86" s="5" t="s">
        <v>1174</v>
      </c>
      <c r="D86" s="5" t="s">
        <v>1171</v>
      </c>
      <c r="E86" s="18" t="s">
        <v>614</v>
      </c>
      <c r="G86" s="6" t="s">
        <v>1713</v>
      </c>
      <c r="H86" s="6" t="s">
        <v>614</v>
      </c>
      <c r="K86" s="20" t="s">
        <v>3502</v>
      </c>
      <c r="M86" s="10" t="s">
        <v>3550</v>
      </c>
      <c r="P86" s="20" t="s">
        <v>3458</v>
      </c>
      <c r="R86" s="10" t="s">
        <v>3458</v>
      </c>
      <c r="U86" s="5" t="s">
        <v>3458</v>
      </c>
    </row>
    <row r="87" spans="1:21" x14ac:dyDescent="0.2">
      <c r="A87" s="3">
        <v>86</v>
      </c>
      <c r="B87" s="5" t="s">
        <v>1218</v>
      </c>
      <c r="C87" s="5" t="s">
        <v>1172</v>
      </c>
      <c r="E87" s="18" t="s">
        <v>615</v>
      </c>
      <c r="G87" s="6" t="s">
        <v>1713</v>
      </c>
      <c r="H87" s="6" t="s">
        <v>615</v>
      </c>
      <c r="K87" s="20" t="s">
        <v>3498</v>
      </c>
      <c r="M87" s="10" t="s">
        <v>3798</v>
      </c>
      <c r="P87" s="20" t="s">
        <v>1713</v>
      </c>
      <c r="R87" s="10" t="s">
        <v>1713</v>
      </c>
      <c r="U87" s="5" t="s">
        <v>1713</v>
      </c>
    </row>
    <row r="88" spans="1:21" x14ac:dyDescent="0.2">
      <c r="A88" s="3">
        <v>87</v>
      </c>
      <c r="B88" s="5" t="s">
        <v>1219</v>
      </c>
      <c r="C88" s="5" t="s">
        <v>1172</v>
      </c>
      <c r="D88" s="5" t="s">
        <v>1220</v>
      </c>
      <c r="E88" s="18" t="s">
        <v>616</v>
      </c>
      <c r="G88" s="6" t="s">
        <v>1713</v>
      </c>
      <c r="H88" s="6" t="s">
        <v>616</v>
      </c>
      <c r="K88" s="20" t="s">
        <v>3498</v>
      </c>
      <c r="M88" s="10" t="s">
        <v>3798</v>
      </c>
      <c r="P88" s="20" t="s">
        <v>3459</v>
      </c>
      <c r="R88" s="10" t="s">
        <v>3459</v>
      </c>
      <c r="U88" s="5" t="s">
        <v>3459</v>
      </c>
    </row>
    <row r="89" spans="1:21" x14ac:dyDescent="0.2">
      <c r="A89" s="3">
        <v>88</v>
      </c>
      <c r="B89" s="5" t="s">
        <v>1221</v>
      </c>
      <c r="C89" s="5" t="s">
        <v>1169</v>
      </c>
      <c r="E89" s="18" t="s">
        <v>617</v>
      </c>
      <c r="G89" s="6" t="s">
        <v>1713</v>
      </c>
      <c r="H89" s="6" t="s">
        <v>617</v>
      </c>
      <c r="I89" s="11" t="s">
        <v>723</v>
      </c>
      <c r="K89" s="20" t="s">
        <v>3510</v>
      </c>
      <c r="M89" s="10" t="s">
        <v>3712</v>
      </c>
      <c r="N89" s="9" t="s">
        <v>3252</v>
      </c>
      <c r="R89" s="10" t="s">
        <v>1713</v>
      </c>
      <c r="U89" s="5" t="s">
        <v>1713</v>
      </c>
    </row>
    <row r="90" spans="1:21" x14ac:dyDescent="0.2">
      <c r="A90" s="3">
        <v>89</v>
      </c>
      <c r="B90" s="5" t="s">
        <v>1222</v>
      </c>
      <c r="C90" s="5" t="s">
        <v>1169</v>
      </c>
      <c r="E90" s="18" t="s">
        <v>618</v>
      </c>
      <c r="G90" s="6" t="s">
        <v>1713</v>
      </c>
      <c r="H90" s="6" t="s">
        <v>618</v>
      </c>
      <c r="I90" s="11" t="s">
        <v>724</v>
      </c>
      <c r="K90" s="20" t="s">
        <v>3510</v>
      </c>
      <c r="M90" s="10" t="s">
        <v>3550</v>
      </c>
      <c r="N90" s="9" t="s">
        <v>3253</v>
      </c>
      <c r="P90" s="20" t="s">
        <v>3020</v>
      </c>
      <c r="R90" s="10" t="s">
        <v>3020</v>
      </c>
      <c r="S90" s="9" t="s">
        <v>3020</v>
      </c>
      <c r="U90" s="5" t="s">
        <v>3020</v>
      </c>
    </row>
    <row r="91" spans="1:21" x14ac:dyDescent="0.2">
      <c r="A91" s="3">
        <v>90</v>
      </c>
      <c r="B91" s="5" t="s">
        <v>353</v>
      </c>
      <c r="C91" s="5" t="s">
        <v>1172</v>
      </c>
      <c r="E91" s="18" t="s">
        <v>619</v>
      </c>
      <c r="F91" s="4" t="s">
        <v>679</v>
      </c>
      <c r="G91" s="6" t="s">
        <v>1713</v>
      </c>
      <c r="H91" s="6" t="s">
        <v>619</v>
      </c>
      <c r="I91" s="11" t="s">
        <v>858</v>
      </c>
      <c r="K91" s="20" t="s">
        <v>3532</v>
      </c>
      <c r="L91" s="21" t="s">
        <v>2718</v>
      </c>
      <c r="M91" s="10" t="s">
        <v>3708</v>
      </c>
      <c r="N91" s="9" t="s">
        <v>3339</v>
      </c>
      <c r="R91" s="10" t="s">
        <v>1713</v>
      </c>
      <c r="U91" s="5" t="s">
        <v>1713</v>
      </c>
    </row>
    <row r="92" spans="1:21" x14ac:dyDescent="0.2">
      <c r="A92" s="3">
        <v>91</v>
      </c>
      <c r="B92" s="5" t="s">
        <v>354</v>
      </c>
      <c r="C92" s="5" t="s">
        <v>1172</v>
      </c>
      <c r="D92" s="5" t="s">
        <v>1220</v>
      </c>
      <c r="E92" s="18" t="s">
        <v>620</v>
      </c>
      <c r="F92" s="4" t="s">
        <v>680</v>
      </c>
      <c r="G92" s="6" t="s">
        <v>1713</v>
      </c>
      <c r="H92" s="6" t="s">
        <v>620</v>
      </c>
      <c r="I92" s="11" t="s">
        <v>859</v>
      </c>
      <c r="K92" s="20" t="s">
        <v>3532</v>
      </c>
      <c r="L92" s="21" t="s">
        <v>2719</v>
      </c>
      <c r="M92" s="10" t="s">
        <v>3550</v>
      </c>
      <c r="N92" s="9" t="s">
        <v>3340</v>
      </c>
      <c r="P92" s="20" t="s">
        <v>1022</v>
      </c>
      <c r="Q92" s="21" t="s">
        <v>1022</v>
      </c>
      <c r="R92" s="10" t="s">
        <v>1022</v>
      </c>
      <c r="S92" s="9" t="s">
        <v>1022</v>
      </c>
      <c r="U92" s="5" t="s">
        <v>1022</v>
      </c>
    </row>
    <row r="93" spans="1:21" x14ac:dyDescent="0.2">
      <c r="A93" s="3">
        <v>92</v>
      </c>
      <c r="B93" s="5" t="s">
        <v>64</v>
      </c>
      <c r="C93" s="5" t="s">
        <v>1223</v>
      </c>
      <c r="D93" s="5" t="s">
        <v>1169</v>
      </c>
      <c r="E93" s="18" t="s">
        <v>621</v>
      </c>
      <c r="F93" s="4" t="s">
        <v>670</v>
      </c>
      <c r="G93" s="6" t="s">
        <v>598</v>
      </c>
      <c r="H93" s="6" t="s">
        <v>621</v>
      </c>
      <c r="I93" s="11" t="s">
        <v>597</v>
      </c>
      <c r="J93" s="19" t="s">
        <v>594</v>
      </c>
      <c r="K93" s="20" t="s">
        <v>3517</v>
      </c>
      <c r="L93" s="21" t="s">
        <v>2612</v>
      </c>
      <c r="M93" s="10" t="s">
        <v>3719</v>
      </c>
      <c r="N93" s="9" t="s">
        <v>3157</v>
      </c>
      <c r="O93" s="13" t="s">
        <v>1683</v>
      </c>
      <c r="R93" s="10" t="s">
        <v>1713</v>
      </c>
      <c r="T93" s="12" t="s">
        <v>1713</v>
      </c>
      <c r="U93" s="5" t="s">
        <v>1713</v>
      </c>
    </row>
    <row r="94" spans="1:21" x14ac:dyDescent="0.2">
      <c r="A94" s="3">
        <v>93</v>
      </c>
      <c r="B94" s="5" t="s">
        <v>65</v>
      </c>
      <c r="C94" s="5" t="s">
        <v>1223</v>
      </c>
      <c r="D94" s="5" t="s">
        <v>1169</v>
      </c>
      <c r="E94" s="18" t="s">
        <v>622</v>
      </c>
      <c r="F94" s="4" t="s">
        <v>671</v>
      </c>
      <c r="G94" s="6" t="s">
        <v>599</v>
      </c>
      <c r="H94" s="6" t="s">
        <v>622</v>
      </c>
      <c r="I94" s="11" t="s">
        <v>598</v>
      </c>
      <c r="J94" s="19" t="s">
        <v>595</v>
      </c>
      <c r="K94" s="20" t="s">
        <v>3517</v>
      </c>
      <c r="L94" s="21" t="s">
        <v>2613</v>
      </c>
      <c r="M94" s="10" t="s">
        <v>3720</v>
      </c>
      <c r="N94" s="9" t="s">
        <v>3158</v>
      </c>
      <c r="O94" s="13" t="s">
        <v>2409</v>
      </c>
      <c r="P94" s="20" t="s">
        <v>1017</v>
      </c>
      <c r="Q94" s="21" t="s">
        <v>1017</v>
      </c>
      <c r="R94" s="10" t="s">
        <v>1017</v>
      </c>
      <c r="S94" s="9" t="s">
        <v>1017</v>
      </c>
      <c r="T94" s="12" t="s">
        <v>1017</v>
      </c>
      <c r="U94" s="5" t="s">
        <v>1017</v>
      </c>
    </row>
    <row r="95" spans="1:21" x14ac:dyDescent="0.2">
      <c r="A95" s="3">
        <v>94</v>
      </c>
      <c r="B95" s="5" t="s">
        <v>66</v>
      </c>
      <c r="C95" s="5" t="s">
        <v>1223</v>
      </c>
      <c r="D95" s="5" t="s">
        <v>1169</v>
      </c>
      <c r="E95" s="18" t="s">
        <v>623</v>
      </c>
      <c r="F95" s="4" t="s">
        <v>672</v>
      </c>
      <c r="G95" s="6" t="s">
        <v>600</v>
      </c>
      <c r="H95" s="6" t="s">
        <v>623</v>
      </c>
      <c r="I95" s="11" t="s">
        <v>599</v>
      </c>
      <c r="J95" s="19" t="s">
        <v>596</v>
      </c>
      <c r="K95" s="20" t="s">
        <v>3550</v>
      </c>
      <c r="L95" s="21" t="s">
        <v>2614</v>
      </c>
      <c r="M95" s="10" t="s">
        <v>3550</v>
      </c>
      <c r="N95" s="9" t="s">
        <v>3550</v>
      </c>
      <c r="O95" s="13" t="s">
        <v>1795</v>
      </c>
      <c r="P95" s="20" t="s">
        <v>1018</v>
      </c>
      <c r="Q95" s="21" t="s">
        <v>1018</v>
      </c>
      <c r="R95" s="10" t="s">
        <v>1018</v>
      </c>
      <c r="S95" s="9" t="s">
        <v>1018</v>
      </c>
      <c r="T95" s="12" t="s">
        <v>1018</v>
      </c>
      <c r="U95" s="5" t="s">
        <v>1018</v>
      </c>
    </row>
    <row r="96" spans="1:21" x14ac:dyDescent="0.2">
      <c r="A96" s="3">
        <v>95</v>
      </c>
      <c r="B96" s="5" t="s">
        <v>196</v>
      </c>
      <c r="C96" s="5" t="s">
        <v>1210</v>
      </c>
      <c r="D96" s="5" t="s">
        <v>1181</v>
      </c>
      <c r="E96" s="18" t="s">
        <v>624</v>
      </c>
      <c r="F96" s="4" t="s">
        <v>707</v>
      </c>
      <c r="G96" s="6" t="s">
        <v>563</v>
      </c>
      <c r="H96" s="6" t="s">
        <v>624</v>
      </c>
      <c r="J96" s="19" t="s">
        <v>726</v>
      </c>
      <c r="K96" s="20" t="s">
        <v>3480</v>
      </c>
      <c r="L96" s="21" t="s">
        <v>2626</v>
      </c>
      <c r="M96" s="10" t="s">
        <v>3721</v>
      </c>
      <c r="O96" s="12" t="s">
        <v>1694</v>
      </c>
      <c r="R96" s="10" t="s">
        <v>1713</v>
      </c>
      <c r="T96" s="12" t="s">
        <v>1713</v>
      </c>
      <c r="U96" s="5" t="s">
        <v>1713</v>
      </c>
    </row>
    <row r="97" spans="1:21" x14ac:dyDescent="0.2">
      <c r="A97" s="3">
        <v>96</v>
      </c>
      <c r="B97" s="5" t="s">
        <v>1224</v>
      </c>
      <c r="C97" s="5" t="s">
        <v>1206</v>
      </c>
      <c r="E97" s="18" t="s">
        <v>625</v>
      </c>
      <c r="G97" s="6" t="s">
        <v>1713</v>
      </c>
      <c r="H97" s="6" t="s">
        <v>625</v>
      </c>
      <c r="I97" s="11" t="s">
        <v>595</v>
      </c>
      <c r="K97" s="20" t="s">
        <v>3511</v>
      </c>
      <c r="M97" s="10" t="s">
        <v>3719</v>
      </c>
      <c r="N97" s="9" t="s">
        <v>3155</v>
      </c>
      <c r="R97" s="10" t="s">
        <v>1713</v>
      </c>
      <c r="U97" s="5" t="s">
        <v>1713</v>
      </c>
    </row>
    <row r="98" spans="1:21" x14ac:dyDescent="0.2">
      <c r="A98" s="3">
        <v>97</v>
      </c>
      <c r="B98" s="5" t="s">
        <v>1225</v>
      </c>
      <c r="C98" s="5" t="s">
        <v>1206</v>
      </c>
      <c r="E98" s="18" t="s">
        <v>626</v>
      </c>
      <c r="G98" s="6" t="s">
        <v>1713</v>
      </c>
      <c r="H98" s="6" t="s">
        <v>626</v>
      </c>
      <c r="I98" s="11" t="s">
        <v>596</v>
      </c>
      <c r="K98" s="20" t="s">
        <v>3550</v>
      </c>
      <c r="M98" s="10" t="s">
        <v>3550</v>
      </c>
      <c r="N98" s="9" t="s">
        <v>3156</v>
      </c>
      <c r="P98" s="20" t="s">
        <v>3050</v>
      </c>
      <c r="R98" s="10" t="s">
        <v>3050</v>
      </c>
      <c r="S98" s="9" t="s">
        <v>3050</v>
      </c>
      <c r="U98" s="5" t="s">
        <v>3050</v>
      </c>
    </row>
    <row r="99" spans="1:21" x14ac:dyDescent="0.2">
      <c r="A99" s="3">
        <v>98</v>
      </c>
      <c r="B99" s="5" t="s">
        <v>313</v>
      </c>
      <c r="C99" s="5" t="s">
        <v>1172</v>
      </c>
      <c r="E99" s="18" t="s">
        <v>627</v>
      </c>
      <c r="F99" s="4" t="s">
        <v>627</v>
      </c>
      <c r="G99" s="6" t="s">
        <v>1713</v>
      </c>
      <c r="H99" s="6" t="s">
        <v>627</v>
      </c>
      <c r="K99" s="20" t="s">
        <v>3500</v>
      </c>
      <c r="L99" s="21" t="s">
        <v>2580</v>
      </c>
      <c r="M99" s="10" t="s">
        <v>3710</v>
      </c>
      <c r="R99" s="10" t="s">
        <v>1713</v>
      </c>
      <c r="U99" s="5" t="s">
        <v>1713</v>
      </c>
    </row>
    <row r="100" spans="1:21" x14ac:dyDescent="0.2">
      <c r="A100" s="3">
        <v>99</v>
      </c>
      <c r="B100" s="5" t="s">
        <v>314</v>
      </c>
      <c r="C100" s="5" t="s">
        <v>1172</v>
      </c>
      <c r="E100" s="18" t="s">
        <v>628</v>
      </c>
      <c r="F100" s="4" t="s">
        <v>628</v>
      </c>
      <c r="G100" s="6" t="s">
        <v>1713</v>
      </c>
      <c r="H100" s="6" t="s">
        <v>628</v>
      </c>
      <c r="K100" s="20" t="s">
        <v>3500</v>
      </c>
      <c r="L100" s="21" t="s">
        <v>2581</v>
      </c>
      <c r="M100" s="10" t="s">
        <v>3550</v>
      </c>
      <c r="P100" s="20" t="s">
        <v>998</v>
      </c>
      <c r="Q100" s="21" t="s">
        <v>998</v>
      </c>
      <c r="R100" s="10" t="s">
        <v>998</v>
      </c>
      <c r="U100" s="5" t="s">
        <v>998</v>
      </c>
    </row>
    <row r="101" spans="1:21" x14ac:dyDescent="0.2">
      <c r="A101" s="3">
        <v>100</v>
      </c>
      <c r="B101" s="5" t="s">
        <v>1226</v>
      </c>
      <c r="C101" s="5" t="s">
        <v>1179</v>
      </c>
      <c r="E101" s="18" t="s">
        <v>629</v>
      </c>
      <c r="G101" s="6" t="s">
        <v>1713</v>
      </c>
      <c r="H101" s="6" t="s">
        <v>629</v>
      </c>
      <c r="I101" s="11" t="s">
        <v>736</v>
      </c>
      <c r="K101" s="20" t="s">
        <v>3499</v>
      </c>
      <c r="M101" s="10" t="s">
        <v>3710</v>
      </c>
      <c r="N101" s="9" t="s">
        <v>3263</v>
      </c>
      <c r="R101" s="10" t="s">
        <v>1713</v>
      </c>
      <c r="U101" s="5" t="s">
        <v>1713</v>
      </c>
    </row>
    <row r="102" spans="1:21" x14ac:dyDescent="0.2">
      <c r="A102" s="3">
        <v>101</v>
      </c>
      <c r="B102" s="5" t="s">
        <v>1227</v>
      </c>
      <c r="C102" s="5" t="s">
        <v>1179</v>
      </c>
      <c r="E102" s="18" t="s">
        <v>630</v>
      </c>
      <c r="G102" s="6" t="s">
        <v>1713</v>
      </c>
      <c r="H102" s="6" t="s">
        <v>630</v>
      </c>
      <c r="I102" s="11" t="s">
        <v>737</v>
      </c>
      <c r="K102" s="20" t="s">
        <v>3499</v>
      </c>
      <c r="M102" s="10" t="s">
        <v>3550</v>
      </c>
      <c r="N102" s="9" t="s">
        <v>3264</v>
      </c>
      <c r="P102" s="20" t="s">
        <v>3016</v>
      </c>
      <c r="R102" s="10" t="s">
        <v>3016</v>
      </c>
      <c r="S102" s="9" t="s">
        <v>3016</v>
      </c>
      <c r="U102" s="5" t="s">
        <v>3016</v>
      </c>
    </row>
    <row r="103" spans="1:21" x14ac:dyDescent="0.2">
      <c r="A103" s="3">
        <v>102</v>
      </c>
      <c r="B103" s="5" t="s">
        <v>1228</v>
      </c>
      <c r="C103" s="5" t="s">
        <v>1168</v>
      </c>
      <c r="D103" s="5" t="s">
        <v>1206</v>
      </c>
      <c r="E103" s="18" t="s">
        <v>631</v>
      </c>
      <c r="G103" s="6" t="s">
        <v>1713</v>
      </c>
      <c r="H103" s="6" t="s">
        <v>631</v>
      </c>
      <c r="K103" s="20" t="s">
        <v>3474</v>
      </c>
      <c r="M103" s="10" t="s">
        <v>3824</v>
      </c>
      <c r="P103" s="20" t="s">
        <v>1713</v>
      </c>
      <c r="R103" s="10" t="s">
        <v>1713</v>
      </c>
      <c r="U103" s="5" t="s">
        <v>1713</v>
      </c>
    </row>
    <row r="104" spans="1:21" x14ac:dyDescent="0.2">
      <c r="A104" s="3">
        <v>103</v>
      </c>
      <c r="B104" s="5" t="s">
        <v>1229</v>
      </c>
      <c r="C104" s="5" t="s">
        <v>1168</v>
      </c>
      <c r="D104" s="5" t="s">
        <v>1206</v>
      </c>
      <c r="E104" s="18" t="s">
        <v>632</v>
      </c>
      <c r="G104" s="6" t="s">
        <v>1713</v>
      </c>
      <c r="H104" s="6" t="s">
        <v>632</v>
      </c>
      <c r="K104" s="20" t="s">
        <v>3474</v>
      </c>
      <c r="M104" s="10" t="s">
        <v>3550</v>
      </c>
      <c r="P104" s="20" t="s">
        <v>3463</v>
      </c>
      <c r="R104" s="10" t="s">
        <v>3463</v>
      </c>
      <c r="U104" s="5" t="s">
        <v>3463</v>
      </c>
    </row>
    <row r="105" spans="1:21" x14ac:dyDescent="0.2">
      <c r="A105" s="3">
        <v>104</v>
      </c>
      <c r="B105" s="5" t="s">
        <v>1230</v>
      </c>
      <c r="C105" s="5" t="s">
        <v>1181</v>
      </c>
      <c r="E105" s="18" t="s">
        <v>633</v>
      </c>
      <c r="G105" s="6" t="s">
        <v>1713</v>
      </c>
      <c r="H105" s="6" t="s">
        <v>633</v>
      </c>
      <c r="K105" s="20" t="s">
        <v>3478</v>
      </c>
      <c r="M105" s="10" t="s">
        <v>3719</v>
      </c>
      <c r="P105" s="20" t="s">
        <v>1713</v>
      </c>
      <c r="R105" s="10" t="s">
        <v>1713</v>
      </c>
      <c r="U105" s="5" t="s">
        <v>1713</v>
      </c>
    </row>
    <row r="106" spans="1:21" x14ac:dyDescent="0.2">
      <c r="A106" s="3">
        <v>105</v>
      </c>
      <c r="B106" s="5" t="s">
        <v>1231</v>
      </c>
      <c r="C106" s="5" t="s">
        <v>1181</v>
      </c>
      <c r="E106" s="18" t="s">
        <v>634</v>
      </c>
      <c r="G106" s="6" t="s">
        <v>1713</v>
      </c>
      <c r="H106" s="6" t="s">
        <v>634</v>
      </c>
      <c r="K106" s="20" t="s">
        <v>3550</v>
      </c>
      <c r="M106" s="10" t="s">
        <v>3550</v>
      </c>
      <c r="P106" s="20" t="s">
        <v>3466</v>
      </c>
      <c r="R106" s="10" t="s">
        <v>3466</v>
      </c>
      <c r="U106" s="5" t="s">
        <v>3466</v>
      </c>
    </row>
    <row r="107" spans="1:21" x14ac:dyDescent="0.2">
      <c r="A107" s="3">
        <v>106</v>
      </c>
      <c r="B107" s="5" t="s">
        <v>323</v>
      </c>
      <c r="C107" s="5" t="s">
        <v>1201</v>
      </c>
      <c r="E107" s="18" t="s">
        <v>635</v>
      </c>
      <c r="F107" s="4" t="s">
        <v>637</v>
      </c>
      <c r="G107" s="6" t="s">
        <v>1713</v>
      </c>
      <c r="H107" s="6" t="s">
        <v>635</v>
      </c>
      <c r="K107" s="20" t="s">
        <v>3392</v>
      </c>
      <c r="L107" s="21" t="s">
        <v>2716</v>
      </c>
      <c r="M107" s="10" t="s">
        <v>3550</v>
      </c>
      <c r="Q107" s="21" t="s">
        <v>1115</v>
      </c>
      <c r="R107" s="10" t="s">
        <v>1115</v>
      </c>
      <c r="U107" s="5" t="s">
        <v>1115</v>
      </c>
    </row>
    <row r="108" spans="1:21" x14ac:dyDescent="0.2">
      <c r="A108" s="3">
        <v>107</v>
      </c>
      <c r="B108" s="5" t="s">
        <v>324</v>
      </c>
      <c r="C108" s="5" t="s">
        <v>1201</v>
      </c>
      <c r="E108" s="18" t="s">
        <v>636</v>
      </c>
      <c r="F108" s="4" t="s">
        <v>638</v>
      </c>
      <c r="G108" s="6" t="s">
        <v>1713</v>
      </c>
      <c r="H108" s="6" t="s">
        <v>636</v>
      </c>
      <c r="K108" s="20" t="s">
        <v>3392</v>
      </c>
      <c r="L108" s="21" t="s">
        <v>2717</v>
      </c>
      <c r="M108" s="10" t="s">
        <v>3550</v>
      </c>
      <c r="Q108" s="21" t="s">
        <v>3443</v>
      </c>
      <c r="R108" s="10" t="s">
        <v>3443</v>
      </c>
      <c r="U108" s="5" t="s">
        <v>3443</v>
      </c>
    </row>
    <row r="109" spans="1:21" x14ac:dyDescent="0.2">
      <c r="A109" s="3">
        <v>108</v>
      </c>
      <c r="B109" s="5" t="s">
        <v>1232</v>
      </c>
      <c r="C109" s="5" t="s">
        <v>1174</v>
      </c>
      <c r="E109" s="18" t="s">
        <v>637</v>
      </c>
      <c r="G109" s="6" t="s">
        <v>1713</v>
      </c>
      <c r="H109" s="6" t="s">
        <v>637</v>
      </c>
      <c r="K109" s="20" t="s">
        <v>3512</v>
      </c>
      <c r="M109" s="10" t="s">
        <v>3722</v>
      </c>
      <c r="P109" s="20" t="s">
        <v>1713</v>
      </c>
      <c r="R109" s="10" t="s">
        <v>1713</v>
      </c>
      <c r="U109" s="5" t="s">
        <v>1713</v>
      </c>
    </row>
    <row r="110" spans="1:21" x14ac:dyDescent="0.2">
      <c r="A110" s="3">
        <v>109</v>
      </c>
      <c r="B110" s="5" t="s">
        <v>420</v>
      </c>
      <c r="C110" s="5" t="s">
        <v>1169</v>
      </c>
      <c r="E110" s="18" t="s">
        <v>638</v>
      </c>
      <c r="F110" s="4" t="s">
        <v>779</v>
      </c>
      <c r="G110" s="6" t="s">
        <v>1713</v>
      </c>
      <c r="H110" s="6" t="s">
        <v>638</v>
      </c>
      <c r="K110" s="20" t="s">
        <v>3513</v>
      </c>
      <c r="L110" s="21" t="s">
        <v>2518</v>
      </c>
      <c r="M110" s="10" t="s">
        <v>3550</v>
      </c>
      <c r="R110" s="10" t="s">
        <v>3551</v>
      </c>
      <c r="U110" s="5" t="s">
        <v>3551</v>
      </c>
    </row>
    <row r="111" spans="1:21" x14ac:dyDescent="0.2">
      <c r="A111" s="3">
        <v>110</v>
      </c>
      <c r="B111" s="5" t="s">
        <v>532</v>
      </c>
      <c r="C111" s="5" t="s">
        <v>1169</v>
      </c>
      <c r="E111" s="18" t="s">
        <v>639</v>
      </c>
      <c r="G111" s="6" t="s">
        <v>1713</v>
      </c>
      <c r="H111" s="6" t="s">
        <v>639</v>
      </c>
      <c r="K111" s="20" t="s">
        <v>3513</v>
      </c>
      <c r="M111" s="10" t="s">
        <v>3712</v>
      </c>
      <c r="P111" s="20" t="s">
        <v>1135</v>
      </c>
      <c r="R111" s="10" t="s">
        <v>1135</v>
      </c>
      <c r="U111" s="5" t="s">
        <v>1135</v>
      </c>
    </row>
    <row r="112" spans="1:21" x14ac:dyDescent="0.2">
      <c r="A112" s="3">
        <v>111</v>
      </c>
      <c r="B112" s="5" t="s">
        <v>431</v>
      </c>
      <c r="C112" s="5" t="s">
        <v>1181</v>
      </c>
      <c r="D112" s="5" t="s">
        <v>1210</v>
      </c>
      <c r="E112" s="18" t="s">
        <v>640</v>
      </c>
      <c r="F112" s="4" t="s">
        <v>793</v>
      </c>
      <c r="G112" s="6" t="s">
        <v>1713</v>
      </c>
      <c r="H112" s="6" t="s">
        <v>640</v>
      </c>
      <c r="K112" s="20" t="s">
        <v>3478</v>
      </c>
      <c r="L112" s="21" t="s">
        <v>2534</v>
      </c>
      <c r="M112" s="10" t="s">
        <v>3710</v>
      </c>
      <c r="P112" s="20" t="s">
        <v>1713</v>
      </c>
      <c r="R112" s="10" t="s">
        <v>1713</v>
      </c>
      <c r="U112" s="5" t="s">
        <v>1713</v>
      </c>
    </row>
    <row r="113" spans="1:21" x14ac:dyDescent="0.2">
      <c r="A113" s="3">
        <v>112</v>
      </c>
      <c r="B113" s="5" t="s">
        <v>432</v>
      </c>
      <c r="C113" s="5" t="s">
        <v>1181</v>
      </c>
      <c r="D113" s="5" t="s">
        <v>1210</v>
      </c>
      <c r="E113" s="18" t="s">
        <v>641</v>
      </c>
      <c r="F113" s="4" t="s">
        <v>794</v>
      </c>
      <c r="G113" s="6" t="s">
        <v>1713</v>
      </c>
      <c r="H113" s="6" t="s">
        <v>641</v>
      </c>
      <c r="K113" s="20" t="s">
        <v>3494</v>
      </c>
      <c r="L113" s="21" t="s">
        <v>2595</v>
      </c>
      <c r="M113" s="10" t="s">
        <v>3710</v>
      </c>
      <c r="P113" s="20" t="s">
        <v>1067</v>
      </c>
      <c r="Q113" s="21" t="s">
        <v>1067</v>
      </c>
      <c r="R113" s="10" t="s">
        <v>1067</v>
      </c>
      <c r="U113" s="5" t="s">
        <v>1067</v>
      </c>
    </row>
    <row r="114" spans="1:21" x14ac:dyDescent="0.2">
      <c r="A114" s="3">
        <v>113</v>
      </c>
      <c r="B114" s="5" t="s">
        <v>1233</v>
      </c>
      <c r="C114" s="5" t="s">
        <v>1174</v>
      </c>
      <c r="E114" s="18" t="s">
        <v>642</v>
      </c>
      <c r="G114" s="6" t="s">
        <v>626</v>
      </c>
      <c r="H114" s="6" t="s">
        <v>642</v>
      </c>
      <c r="I114" s="11" t="s">
        <v>573</v>
      </c>
      <c r="K114" s="20" t="s">
        <v>3514</v>
      </c>
      <c r="M114" s="10" t="s">
        <v>3825</v>
      </c>
      <c r="N114" s="9" t="s">
        <v>3134</v>
      </c>
      <c r="R114" s="10" t="s">
        <v>3041</v>
      </c>
      <c r="S114" s="9" t="s">
        <v>3041</v>
      </c>
      <c r="U114" s="5" t="s">
        <v>3041</v>
      </c>
    </row>
    <row r="115" spans="1:21" x14ac:dyDescent="0.2">
      <c r="A115" s="3">
        <v>114</v>
      </c>
      <c r="B115" s="5" t="s">
        <v>1234</v>
      </c>
      <c r="C115" s="5" t="s">
        <v>1168</v>
      </c>
      <c r="E115" s="18" t="s">
        <v>643</v>
      </c>
      <c r="G115" s="6" t="s">
        <v>1713</v>
      </c>
      <c r="H115" s="6" t="s">
        <v>643</v>
      </c>
      <c r="K115" s="20" t="s">
        <v>3479</v>
      </c>
      <c r="M115" s="10" t="s">
        <v>3712</v>
      </c>
      <c r="P115" s="20" t="s">
        <v>1713</v>
      </c>
      <c r="R115" s="10" t="s">
        <v>1713</v>
      </c>
      <c r="U115" s="5" t="s">
        <v>1713</v>
      </c>
    </row>
    <row r="116" spans="1:21" x14ac:dyDescent="0.2">
      <c r="A116" s="3">
        <v>115</v>
      </c>
      <c r="B116" s="5" t="s">
        <v>222</v>
      </c>
      <c r="C116" s="5" t="s">
        <v>1174</v>
      </c>
      <c r="E116" s="18" t="s">
        <v>644</v>
      </c>
      <c r="G116" s="6" t="s">
        <v>1713</v>
      </c>
      <c r="H116" s="6" t="s">
        <v>644</v>
      </c>
      <c r="J116" s="19" t="s">
        <v>752</v>
      </c>
      <c r="K116" s="20" t="s">
        <v>3478</v>
      </c>
      <c r="M116" s="10" t="s">
        <v>3824</v>
      </c>
      <c r="O116" s="12" t="s">
        <v>1682</v>
      </c>
      <c r="R116" s="10" t="s">
        <v>1786</v>
      </c>
      <c r="T116" s="12" t="s">
        <v>1786</v>
      </c>
      <c r="U116" s="5" t="s">
        <v>1786</v>
      </c>
    </row>
    <row r="117" spans="1:21" x14ac:dyDescent="0.2">
      <c r="A117" s="3">
        <v>116</v>
      </c>
      <c r="B117" s="5" t="s">
        <v>1235</v>
      </c>
      <c r="C117" s="5" t="s">
        <v>1172</v>
      </c>
      <c r="E117" s="18" t="s">
        <v>645</v>
      </c>
      <c r="G117" s="6" t="s">
        <v>1713</v>
      </c>
      <c r="H117" s="6" t="s">
        <v>645</v>
      </c>
      <c r="K117" s="20" t="s">
        <v>3533</v>
      </c>
      <c r="M117" s="10" t="s">
        <v>3708</v>
      </c>
      <c r="P117" s="20" t="s">
        <v>1713</v>
      </c>
      <c r="R117" s="10" t="s">
        <v>1713</v>
      </c>
      <c r="U117" s="5" t="s">
        <v>1713</v>
      </c>
    </row>
    <row r="118" spans="1:21" x14ac:dyDescent="0.2">
      <c r="A118" s="3">
        <v>117</v>
      </c>
      <c r="B118" s="5" t="s">
        <v>1236</v>
      </c>
      <c r="C118" s="5" t="s">
        <v>1172</v>
      </c>
      <c r="E118" s="18" t="s">
        <v>646</v>
      </c>
      <c r="G118" s="6" t="s">
        <v>1713</v>
      </c>
      <c r="H118" s="6" t="s">
        <v>646</v>
      </c>
      <c r="K118" s="20" t="s">
        <v>3533</v>
      </c>
      <c r="M118" s="10" t="s">
        <v>3723</v>
      </c>
      <c r="P118" s="20" t="s">
        <v>3467</v>
      </c>
      <c r="R118" s="10" t="s">
        <v>3467</v>
      </c>
      <c r="U118" s="5" t="s">
        <v>3467</v>
      </c>
    </row>
    <row r="119" spans="1:21" x14ac:dyDescent="0.2">
      <c r="A119" s="3">
        <v>118</v>
      </c>
      <c r="B119" s="5" t="s">
        <v>349</v>
      </c>
      <c r="C119" s="5" t="s">
        <v>1172</v>
      </c>
      <c r="E119" s="18" t="s">
        <v>647</v>
      </c>
      <c r="F119" s="4" t="s">
        <v>675</v>
      </c>
      <c r="G119" s="6" t="s">
        <v>607</v>
      </c>
      <c r="H119" s="6" t="s">
        <v>647</v>
      </c>
      <c r="K119" s="20" t="s">
        <v>3534</v>
      </c>
      <c r="L119" s="21" t="s">
        <v>2617</v>
      </c>
      <c r="M119" s="10" t="s">
        <v>3724</v>
      </c>
    </row>
    <row r="120" spans="1:21" x14ac:dyDescent="0.2">
      <c r="A120" s="3">
        <v>119</v>
      </c>
      <c r="B120" s="5" t="s">
        <v>350</v>
      </c>
      <c r="C120" s="5" t="s">
        <v>1172</v>
      </c>
      <c r="E120" s="18" t="s">
        <v>648</v>
      </c>
      <c r="F120" s="4" t="s">
        <v>676</v>
      </c>
      <c r="G120" s="6" t="s">
        <v>608</v>
      </c>
      <c r="H120" s="6" t="s">
        <v>648</v>
      </c>
      <c r="K120" s="20" t="s">
        <v>3534</v>
      </c>
      <c r="L120" s="21" t="s">
        <v>1119</v>
      </c>
      <c r="M120" s="10" t="s">
        <v>3725</v>
      </c>
      <c r="P120" s="20" t="s">
        <v>1020</v>
      </c>
      <c r="Q120" s="21" t="s">
        <v>1020</v>
      </c>
      <c r="R120" s="10" t="s">
        <v>1020</v>
      </c>
      <c r="U120" s="5" t="s">
        <v>1020</v>
      </c>
    </row>
    <row r="121" spans="1:21" x14ac:dyDescent="0.2">
      <c r="A121" s="3">
        <v>120</v>
      </c>
      <c r="B121" s="5" t="s">
        <v>35</v>
      </c>
      <c r="C121" s="5" t="s">
        <v>1172</v>
      </c>
      <c r="E121" s="18" t="s">
        <v>649</v>
      </c>
      <c r="G121" s="6" t="s">
        <v>1713</v>
      </c>
      <c r="H121" s="6" t="s">
        <v>649</v>
      </c>
      <c r="J121" s="19" t="s">
        <v>565</v>
      </c>
      <c r="K121" s="20" t="s">
        <v>3535</v>
      </c>
      <c r="M121" s="10" t="s">
        <v>3708</v>
      </c>
      <c r="O121" s="13" t="s">
        <v>2406</v>
      </c>
      <c r="P121" s="20" t="s">
        <v>1713</v>
      </c>
      <c r="R121" s="10" t="s">
        <v>1713</v>
      </c>
      <c r="T121" s="12" t="s">
        <v>1713</v>
      </c>
      <c r="U121" s="5" t="s">
        <v>1713</v>
      </c>
    </row>
    <row r="122" spans="1:21" x14ac:dyDescent="0.2">
      <c r="A122" s="3">
        <v>121</v>
      </c>
      <c r="B122" s="5" t="s">
        <v>36</v>
      </c>
      <c r="C122" s="5" t="s">
        <v>1172</v>
      </c>
      <c r="D122" s="5" t="s">
        <v>1206</v>
      </c>
      <c r="E122" s="18" t="s">
        <v>650</v>
      </c>
      <c r="G122" s="6" t="s">
        <v>1713</v>
      </c>
      <c r="H122" s="6" t="s">
        <v>650</v>
      </c>
      <c r="J122" s="19" t="s">
        <v>566</v>
      </c>
      <c r="K122" s="20" t="s">
        <v>3535</v>
      </c>
      <c r="M122" s="10" t="s">
        <v>3550</v>
      </c>
      <c r="O122" s="13" t="s">
        <v>2405</v>
      </c>
      <c r="P122" s="20" t="s">
        <v>1731</v>
      </c>
      <c r="R122" s="10" t="s">
        <v>1731</v>
      </c>
      <c r="T122" s="12" t="s">
        <v>1731</v>
      </c>
      <c r="U122" s="5" t="s">
        <v>1731</v>
      </c>
    </row>
    <row r="123" spans="1:21" x14ac:dyDescent="0.2">
      <c r="A123" s="3">
        <v>122</v>
      </c>
      <c r="B123" s="5" t="s">
        <v>535</v>
      </c>
      <c r="C123" s="5" t="s">
        <v>1206</v>
      </c>
      <c r="D123" s="5" t="s">
        <v>1189</v>
      </c>
      <c r="E123" s="18" t="s">
        <v>651</v>
      </c>
      <c r="F123" s="4" t="s">
        <v>894</v>
      </c>
      <c r="G123" s="6" t="s">
        <v>624</v>
      </c>
      <c r="H123" s="6" t="s">
        <v>651</v>
      </c>
      <c r="K123" s="20" t="s">
        <v>3511</v>
      </c>
      <c r="L123" s="21" t="s">
        <v>1148</v>
      </c>
      <c r="M123" s="10" t="s">
        <v>3826</v>
      </c>
      <c r="P123" s="20" t="s">
        <v>1713</v>
      </c>
      <c r="R123" s="10" t="s">
        <v>3575</v>
      </c>
      <c r="U123" s="5" t="s">
        <v>3575</v>
      </c>
    </row>
    <row r="124" spans="1:21" x14ac:dyDescent="0.2">
      <c r="A124" s="3">
        <v>123</v>
      </c>
      <c r="B124" s="5" t="s">
        <v>175</v>
      </c>
      <c r="C124" s="5" t="s">
        <v>1173</v>
      </c>
      <c r="D124" s="5" t="s">
        <v>1171</v>
      </c>
      <c r="E124" s="18" t="s">
        <v>652</v>
      </c>
      <c r="G124" s="6" t="s">
        <v>1713</v>
      </c>
      <c r="H124" s="6" t="s">
        <v>652</v>
      </c>
      <c r="I124" s="11" t="s">
        <v>789</v>
      </c>
      <c r="J124" s="19" t="s">
        <v>705</v>
      </c>
      <c r="K124" s="20" t="s">
        <v>3515</v>
      </c>
      <c r="M124" s="10" t="s">
        <v>3797</v>
      </c>
      <c r="N124" s="9" t="s">
        <v>3298</v>
      </c>
      <c r="O124" s="12" t="s">
        <v>2412</v>
      </c>
      <c r="R124" s="10" t="s">
        <v>1713</v>
      </c>
      <c r="T124" s="12" t="s">
        <v>1713</v>
      </c>
      <c r="U124" s="5" t="s">
        <v>1713</v>
      </c>
    </row>
    <row r="125" spans="1:21" x14ac:dyDescent="0.2">
      <c r="A125" s="3">
        <v>124</v>
      </c>
      <c r="B125" s="5" t="s">
        <v>1237</v>
      </c>
      <c r="C125" s="5" t="s">
        <v>1220</v>
      </c>
      <c r="D125" s="5" t="s">
        <v>1206</v>
      </c>
      <c r="E125" s="18" t="s">
        <v>653</v>
      </c>
      <c r="G125" s="6" t="s">
        <v>1713</v>
      </c>
      <c r="H125" s="6" t="s">
        <v>653</v>
      </c>
      <c r="K125" s="20" t="s">
        <v>3498</v>
      </c>
      <c r="M125" s="10" t="s">
        <v>3550</v>
      </c>
      <c r="P125" s="20" t="s">
        <v>1713</v>
      </c>
      <c r="R125" s="10" t="s">
        <v>1713</v>
      </c>
      <c r="U125" s="5" t="s">
        <v>1713</v>
      </c>
    </row>
    <row r="126" spans="1:21" x14ac:dyDescent="0.2">
      <c r="A126" s="3">
        <v>125</v>
      </c>
      <c r="B126" s="5" t="s">
        <v>1238</v>
      </c>
      <c r="C126" s="5" t="s">
        <v>1179</v>
      </c>
      <c r="E126" s="18" t="s">
        <v>654</v>
      </c>
      <c r="G126" s="6" t="s">
        <v>1713</v>
      </c>
      <c r="H126" s="6" t="s">
        <v>654</v>
      </c>
      <c r="K126" s="20" t="s">
        <v>3499</v>
      </c>
      <c r="M126" s="10" t="s">
        <v>3550</v>
      </c>
      <c r="P126" s="20" t="s">
        <v>1713</v>
      </c>
      <c r="R126" s="10" t="s">
        <v>3608</v>
      </c>
      <c r="U126" s="5" t="s">
        <v>3608</v>
      </c>
    </row>
    <row r="127" spans="1:21" x14ac:dyDescent="0.2">
      <c r="A127" s="3">
        <v>126</v>
      </c>
      <c r="B127" s="5" t="s">
        <v>1239</v>
      </c>
      <c r="C127" s="5" t="s">
        <v>1170</v>
      </c>
      <c r="E127" s="18" t="s">
        <v>655</v>
      </c>
      <c r="G127" s="6" t="s">
        <v>1713</v>
      </c>
      <c r="H127" s="6" t="s">
        <v>655</v>
      </c>
      <c r="K127" s="20" t="s">
        <v>3516</v>
      </c>
      <c r="M127" s="10" t="s">
        <v>3550</v>
      </c>
      <c r="P127" s="20" t="s">
        <v>1713</v>
      </c>
      <c r="R127" s="10" t="s">
        <v>1713</v>
      </c>
      <c r="U127" s="5" t="s">
        <v>1713</v>
      </c>
    </row>
    <row r="128" spans="1:21" x14ac:dyDescent="0.2">
      <c r="A128" s="3">
        <v>127</v>
      </c>
      <c r="B128" s="5" t="s">
        <v>177</v>
      </c>
      <c r="C128" s="5" t="s">
        <v>1173</v>
      </c>
      <c r="E128" s="18" t="s">
        <v>656</v>
      </c>
      <c r="G128" s="6" t="s">
        <v>1713</v>
      </c>
      <c r="H128" s="6" t="s">
        <v>656</v>
      </c>
      <c r="J128" s="19" t="s">
        <v>707</v>
      </c>
      <c r="K128" s="20" t="s">
        <v>3518</v>
      </c>
      <c r="M128" s="10" t="s">
        <v>3781</v>
      </c>
      <c r="O128" s="12" t="s">
        <v>1693</v>
      </c>
      <c r="P128" s="20" t="s">
        <v>1713</v>
      </c>
      <c r="R128" s="10" t="s">
        <v>1713</v>
      </c>
      <c r="T128" s="12" t="s">
        <v>1713</v>
      </c>
      <c r="U128" s="5" t="s">
        <v>1713</v>
      </c>
    </row>
    <row r="129" spans="1:21" x14ac:dyDescent="0.2">
      <c r="A129" s="3">
        <v>128</v>
      </c>
      <c r="B129" s="5" t="s">
        <v>1240</v>
      </c>
      <c r="C129" s="5" t="s">
        <v>1174</v>
      </c>
      <c r="E129" s="18" t="s">
        <v>657</v>
      </c>
      <c r="G129" s="6" t="s">
        <v>1713</v>
      </c>
      <c r="H129" s="6" t="s">
        <v>657</v>
      </c>
      <c r="I129" s="24" t="s">
        <v>752</v>
      </c>
      <c r="K129" s="20" t="s">
        <v>3481</v>
      </c>
      <c r="M129" s="10" t="s">
        <v>3710</v>
      </c>
      <c r="N129" s="9" t="s">
        <v>3274</v>
      </c>
      <c r="R129" s="10" t="s">
        <v>1713</v>
      </c>
      <c r="U129" s="5" t="s">
        <v>1713</v>
      </c>
    </row>
    <row r="130" spans="1:21" x14ac:dyDescent="0.2">
      <c r="A130" s="3">
        <v>129</v>
      </c>
      <c r="B130" s="5" t="s">
        <v>31</v>
      </c>
      <c r="C130" s="5" t="s">
        <v>1172</v>
      </c>
      <c r="E130" s="18" t="s">
        <v>658</v>
      </c>
      <c r="F130" s="4" t="s">
        <v>673</v>
      </c>
      <c r="G130" s="6" t="s">
        <v>552</v>
      </c>
      <c r="H130" s="6" t="s">
        <v>658</v>
      </c>
      <c r="I130" s="11" t="s">
        <v>663</v>
      </c>
      <c r="J130" s="19" t="s">
        <v>561</v>
      </c>
      <c r="K130" s="20" t="s">
        <v>3536</v>
      </c>
      <c r="L130" s="21" t="s">
        <v>2615</v>
      </c>
      <c r="M130" s="10" t="s">
        <v>3726</v>
      </c>
      <c r="N130" s="9" t="s">
        <v>3207</v>
      </c>
      <c r="O130" s="13" t="s">
        <v>1702</v>
      </c>
      <c r="R130" s="10" t="s">
        <v>1713</v>
      </c>
      <c r="T130" s="12" t="s">
        <v>1713</v>
      </c>
      <c r="U130" s="5" t="s">
        <v>1713</v>
      </c>
    </row>
    <row r="131" spans="1:21" x14ac:dyDescent="0.2">
      <c r="A131" s="3">
        <v>130</v>
      </c>
      <c r="B131" s="5" t="s">
        <v>32</v>
      </c>
      <c r="C131" s="5" t="s">
        <v>1172</v>
      </c>
      <c r="D131" s="5" t="s">
        <v>1171</v>
      </c>
      <c r="E131" s="18" t="s">
        <v>659</v>
      </c>
      <c r="F131" s="4" t="s">
        <v>674</v>
      </c>
      <c r="G131" s="6" t="s">
        <v>553</v>
      </c>
      <c r="H131" s="6" t="s">
        <v>659</v>
      </c>
      <c r="I131" s="11" t="s">
        <v>664</v>
      </c>
      <c r="J131" s="19" t="s">
        <v>562</v>
      </c>
      <c r="K131" s="20" t="s">
        <v>3537</v>
      </c>
      <c r="L131" s="21" t="s">
        <v>2616</v>
      </c>
      <c r="M131" s="10" t="s">
        <v>3725</v>
      </c>
      <c r="N131" s="9" t="s">
        <v>3208</v>
      </c>
      <c r="O131" s="13" t="s">
        <v>1690</v>
      </c>
      <c r="P131" s="20" t="s">
        <v>1019</v>
      </c>
      <c r="R131" s="10" t="s">
        <v>1019</v>
      </c>
      <c r="S131" s="9" t="s">
        <v>1019</v>
      </c>
      <c r="T131" s="12" t="s">
        <v>1019</v>
      </c>
      <c r="U131" s="5" t="s">
        <v>1019</v>
      </c>
    </row>
    <row r="132" spans="1:21" x14ac:dyDescent="0.2">
      <c r="A132" s="3">
        <v>131</v>
      </c>
      <c r="B132" s="5" t="s">
        <v>503</v>
      </c>
      <c r="C132" s="5" t="s">
        <v>1172</v>
      </c>
      <c r="D132" s="5" t="s">
        <v>1220</v>
      </c>
      <c r="E132" s="18" t="s">
        <v>660</v>
      </c>
      <c r="F132" s="4" t="s">
        <v>890</v>
      </c>
      <c r="G132" s="6" t="s">
        <v>1713</v>
      </c>
      <c r="H132" s="6" t="s">
        <v>660</v>
      </c>
      <c r="K132" s="20" t="s">
        <v>3519</v>
      </c>
      <c r="L132" s="21" t="s">
        <v>2702</v>
      </c>
      <c r="M132" s="10" t="s">
        <v>3827</v>
      </c>
      <c r="P132" s="20" t="s">
        <v>1713</v>
      </c>
      <c r="R132" s="10" t="s">
        <v>1713</v>
      </c>
      <c r="U132" s="5" t="s">
        <v>1713</v>
      </c>
    </row>
    <row r="133" spans="1:21" x14ac:dyDescent="0.2">
      <c r="A133" s="3">
        <v>132</v>
      </c>
      <c r="B133" s="5" t="s">
        <v>513</v>
      </c>
      <c r="C133" s="5" t="s">
        <v>1174</v>
      </c>
      <c r="E133" s="18" t="s">
        <v>661</v>
      </c>
      <c r="F133" s="4" t="s">
        <v>902</v>
      </c>
      <c r="G133" s="6" t="s">
        <v>1713</v>
      </c>
      <c r="H133" s="6" t="s">
        <v>661</v>
      </c>
      <c r="I133" s="11" t="s">
        <v>741</v>
      </c>
      <c r="K133" s="20" t="s">
        <v>3516</v>
      </c>
      <c r="L133" s="21" t="s">
        <v>2766</v>
      </c>
      <c r="M133" s="10" t="s">
        <v>3719</v>
      </c>
      <c r="N133" s="9" t="s">
        <v>3266</v>
      </c>
      <c r="R133" s="10" t="s">
        <v>1713</v>
      </c>
      <c r="U133" s="5" t="s">
        <v>1713</v>
      </c>
    </row>
    <row r="134" spans="1:21" x14ac:dyDescent="0.2">
      <c r="A134" s="3">
        <v>133</v>
      </c>
      <c r="B134" s="5" t="s">
        <v>99</v>
      </c>
      <c r="C134" s="5" t="s">
        <v>1174</v>
      </c>
      <c r="E134" s="18" t="s">
        <v>662</v>
      </c>
      <c r="F134" s="4" t="s">
        <v>725</v>
      </c>
      <c r="G134" s="6" t="s">
        <v>1713</v>
      </c>
      <c r="H134" s="6" t="s">
        <v>662</v>
      </c>
      <c r="I134" s="11" t="s">
        <v>708</v>
      </c>
      <c r="J134" s="19" t="s">
        <v>629</v>
      </c>
      <c r="K134" s="20" t="s">
        <v>3497</v>
      </c>
      <c r="L134" s="21" t="s">
        <v>2726</v>
      </c>
      <c r="M134" s="10" t="s">
        <v>3727</v>
      </c>
      <c r="N134" s="9" t="s">
        <v>3149</v>
      </c>
      <c r="O134" s="12" t="s">
        <v>1707</v>
      </c>
      <c r="Q134" s="21" t="s">
        <v>2499</v>
      </c>
      <c r="S134" s="9" t="s">
        <v>2499</v>
      </c>
      <c r="T134" s="12" t="s">
        <v>1713</v>
      </c>
      <c r="U134" s="5" t="s">
        <v>2499</v>
      </c>
    </row>
    <row r="135" spans="1:21" x14ac:dyDescent="0.2">
      <c r="A135" s="3">
        <v>134</v>
      </c>
      <c r="B135" s="5" t="s">
        <v>100</v>
      </c>
      <c r="C135" s="5" t="s">
        <v>1172</v>
      </c>
      <c r="E135" s="18" t="s">
        <v>663</v>
      </c>
      <c r="F135" s="4" t="s">
        <v>726</v>
      </c>
      <c r="G135" s="6" t="s">
        <v>1713</v>
      </c>
      <c r="H135" s="6" t="s">
        <v>663</v>
      </c>
      <c r="I135" s="11" t="s">
        <v>709</v>
      </c>
      <c r="J135" s="19" t="s">
        <v>630</v>
      </c>
      <c r="K135" s="20" t="s">
        <v>3550</v>
      </c>
      <c r="L135" s="21" t="s">
        <v>2634</v>
      </c>
      <c r="M135" s="10" t="s">
        <v>3550</v>
      </c>
      <c r="N135" s="9" t="s">
        <v>3241</v>
      </c>
      <c r="O135" s="12" t="s">
        <v>1804</v>
      </c>
      <c r="P135" s="20" t="s">
        <v>1042</v>
      </c>
      <c r="Q135" s="21" t="s">
        <v>1042</v>
      </c>
      <c r="R135" s="10" t="s">
        <v>1042</v>
      </c>
      <c r="S135" s="9" t="s">
        <v>1042</v>
      </c>
      <c r="T135" s="12" t="s">
        <v>1042</v>
      </c>
      <c r="U135" s="5" t="s">
        <v>1042</v>
      </c>
    </row>
    <row r="136" spans="1:21" x14ac:dyDescent="0.2">
      <c r="A136" s="3">
        <v>135</v>
      </c>
      <c r="B136" s="5" t="s">
        <v>101</v>
      </c>
      <c r="C136" s="5" t="s">
        <v>1179</v>
      </c>
      <c r="E136" s="18" t="s">
        <v>664</v>
      </c>
      <c r="F136" s="4" t="s">
        <v>727</v>
      </c>
      <c r="G136" s="6" t="s">
        <v>1713</v>
      </c>
      <c r="H136" s="6" t="s">
        <v>664</v>
      </c>
      <c r="I136" s="11" t="s">
        <v>710</v>
      </c>
      <c r="J136" s="19" t="s">
        <v>631</v>
      </c>
      <c r="K136" s="20" t="s">
        <v>3550</v>
      </c>
      <c r="L136" s="21" t="s">
        <v>2635</v>
      </c>
      <c r="M136" s="10" t="s">
        <v>3550</v>
      </c>
      <c r="N136" s="9" t="s">
        <v>3242</v>
      </c>
      <c r="O136" s="12" t="s">
        <v>1804</v>
      </c>
      <c r="P136" s="20" t="s">
        <v>1127</v>
      </c>
      <c r="Q136" s="21" t="s">
        <v>1127</v>
      </c>
      <c r="R136" s="10" t="s">
        <v>1127</v>
      </c>
      <c r="S136" s="9" t="s">
        <v>1127</v>
      </c>
      <c r="T136" s="12" t="s">
        <v>1127</v>
      </c>
      <c r="U136" s="5" t="s">
        <v>1127</v>
      </c>
    </row>
    <row r="137" spans="1:21" x14ac:dyDescent="0.2">
      <c r="A137" s="3">
        <v>136</v>
      </c>
      <c r="B137" s="5" t="s">
        <v>102</v>
      </c>
      <c r="C137" s="5" t="s">
        <v>1170</v>
      </c>
      <c r="E137" s="18" t="s">
        <v>665</v>
      </c>
      <c r="F137" s="4" t="s">
        <v>728</v>
      </c>
      <c r="G137" s="6" t="s">
        <v>1713</v>
      </c>
      <c r="H137" s="6" t="s">
        <v>665</v>
      </c>
      <c r="I137" s="11" t="s">
        <v>711</v>
      </c>
      <c r="J137" s="19" t="s">
        <v>632</v>
      </c>
      <c r="K137" s="20" t="s">
        <v>3550</v>
      </c>
      <c r="L137" s="21" t="s">
        <v>2636</v>
      </c>
      <c r="M137" s="10" t="s">
        <v>3550</v>
      </c>
      <c r="N137" s="9" t="s">
        <v>3182</v>
      </c>
      <c r="O137" s="12" t="s">
        <v>1804</v>
      </c>
      <c r="P137" s="20" t="s">
        <v>1128</v>
      </c>
      <c r="Q137" s="21" t="s">
        <v>1128</v>
      </c>
      <c r="R137" s="10" t="s">
        <v>1128</v>
      </c>
      <c r="S137" s="9" t="s">
        <v>1128</v>
      </c>
      <c r="T137" s="12" t="s">
        <v>1128</v>
      </c>
      <c r="U137" s="5" t="s">
        <v>1128</v>
      </c>
    </row>
    <row r="138" spans="1:21" x14ac:dyDescent="0.2">
      <c r="A138" s="3">
        <v>137</v>
      </c>
      <c r="B138" s="5" t="s">
        <v>1241</v>
      </c>
      <c r="C138" s="5" t="s">
        <v>1174</v>
      </c>
      <c r="E138" s="18" t="s">
        <v>666</v>
      </c>
      <c r="G138" s="6" t="s">
        <v>1713</v>
      </c>
      <c r="H138" s="6" t="s">
        <v>666</v>
      </c>
      <c r="K138" s="20" t="s">
        <v>3520</v>
      </c>
      <c r="M138" s="10" t="s">
        <v>3711</v>
      </c>
      <c r="P138" s="20" t="s">
        <v>1713</v>
      </c>
      <c r="R138" s="10" t="s">
        <v>1713</v>
      </c>
      <c r="U138" s="5" t="s">
        <v>1713</v>
      </c>
    </row>
    <row r="139" spans="1:21" x14ac:dyDescent="0.2">
      <c r="A139" s="3">
        <v>138</v>
      </c>
      <c r="B139" s="5" t="s">
        <v>1242</v>
      </c>
      <c r="C139" s="5" t="s">
        <v>1210</v>
      </c>
      <c r="D139" s="5" t="s">
        <v>1172</v>
      </c>
      <c r="E139" s="18" t="s">
        <v>667</v>
      </c>
      <c r="G139" s="6" t="s">
        <v>1713</v>
      </c>
      <c r="H139" s="6" t="s">
        <v>667</v>
      </c>
      <c r="K139" s="20" t="s">
        <v>3521</v>
      </c>
      <c r="M139" s="10" t="s">
        <v>3702</v>
      </c>
      <c r="P139" s="20" t="s">
        <v>1713</v>
      </c>
      <c r="R139" s="10" t="s">
        <v>1713</v>
      </c>
      <c r="U139" s="5" t="s">
        <v>1713</v>
      </c>
    </row>
    <row r="140" spans="1:21" x14ac:dyDescent="0.2">
      <c r="A140" s="3">
        <v>139</v>
      </c>
      <c r="B140" s="5" t="s">
        <v>1243</v>
      </c>
      <c r="C140" s="5" t="s">
        <v>1210</v>
      </c>
      <c r="D140" s="5" t="s">
        <v>1172</v>
      </c>
      <c r="E140" s="18" t="s">
        <v>668</v>
      </c>
      <c r="G140" s="6" t="s">
        <v>1713</v>
      </c>
      <c r="H140" s="6" t="s">
        <v>668</v>
      </c>
      <c r="K140" s="20" t="s">
        <v>3550</v>
      </c>
      <c r="M140" s="10" t="s">
        <v>3550</v>
      </c>
      <c r="P140" s="20" t="s">
        <v>3468</v>
      </c>
      <c r="R140" s="10" t="s">
        <v>3468</v>
      </c>
      <c r="U140" s="5" t="s">
        <v>3468</v>
      </c>
    </row>
    <row r="141" spans="1:21" x14ac:dyDescent="0.2">
      <c r="A141" s="3">
        <v>140</v>
      </c>
      <c r="B141" s="5" t="s">
        <v>1244</v>
      </c>
      <c r="C141" s="5" t="s">
        <v>1210</v>
      </c>
      <c r="D141" s="5" t="s">
        <v>1172</v>
      </c>
      <c r="E141" s="18" t="s">
        <v>669</v>
      </c>
      <c r="G141" s="6" t="s">
        <v>1713</v>
      </c>
      <c r="H141" s="6" t="s">
        <v>669</v>
      </c>
      <c r="K141" s="26" t="s">
        <v>3523</v>
      </c>
      <c r="M141" s="10" t="s">
        <v>3703</v>
      </c>
      <c r="P141" s="20" t="s">
        <v>1713</v>
      </c>
      <c r="R141" s="10" t="s">
        <v>1713</v>
      </c>
      <c r="U141" s="5" t="s">
        <v>1713</v>
      </c>
    </row>
    <row r="142" spans="1:21" x14ac:dyDescent="0.2">
      <c r="A142" s="3">
        <v>141</v>
      </c>
      <c r="B142" s="5" t="s">
        <v>1245</v>
      </c>
      <c r="C142" s="5" t="s">
        <v>1210</v>
      </c>
      <c r="D142" s="5" t="s">
        <v>1172</v>
      </c>
      <c r="E142" s="18" t="s">
        <v>670</v>
      </c>
      <c r="G142" s="6" t="s">
        <v>1713</v>
      </c>
      <c r="H142" s="6" t="s">
        <v>670</v>
      </c>
      <c r="K142" s="20" t="s">
        <v>3550</v>
      </c>
      <c r="M142" s="10" t="s">
        <v>3550</v>
      </c>
      <c r="P142" s="20" t="s">
        <v>3469</v>
      </c>
      <c r="R142" s="10" t="s">
        <v>3469</v>
      </c>
      <c r="U142" s="5" t="s">
        <v>3469</v>
      </c>
    </row>
    <row r="143" spans="1:21" x14ac:dyDescent="0.2">
      <c r="A143" s="3">
        <v>142</v>
      </c>
      <c r="B143" s="5" t="s">
        <v>191</v>
      </c>
      <c r="C143" s="5" t="s">
        <v>1210</v>
      </c>
      <c r="D143" s="5" t="s">
        <v>1171</v>
      </c>
      <c r="E143" s="18" t="s">
        <v>671</v>
      </c>
      <c r="G143" s="6" t="s">
        <v>1713</v>
      </c>
      <c r="H143" s="6" t="s">
        <v>671</v>
      </c>
      <c r="J143" s="19" t="s">
        <v>721</v>
      </c>
      <c r="K143" s="20" t="s">
        <v>3522</v>
      </c>
      <c r="M143" s="10" t="s">
        <v>3728</v>
      </c>
      <c r="O143" s="12" t="s">
        <v>1806</v>
      </c>
      <c r="P143" s="20" t="s">
        <v>1713</v>
      </c>
      <c r="R143" s="10" t="s">
        <v>1713</v>
      </c>
      <c r="T143" s="12" t="s">
        <v>1713</v>
      </c>
      <c r="U143" s="5" t="s">
        <v>1713</v>
      </c>
    </row>
    <row r="144" spans="1:21" x14ac:dyDescent="0.2">
      <c r="A144" s="3">
        <v>143</v>
      </c>
      <c r="B144" s="5" t="s">
        <v>428</v>
      </c>
      <c r="C144" s="5" t="s">
        <v>1174</v>
      </c>
      <c r="E144" s="18" t="s">
        <v>672</v>
      </c>
      <c r="F144" s="4" t="s">
        <v>790</v>
      </c>
      <c r="G144" s="6" t="s">
        <v>642</v>
      </c>
      <c r="H144" s="6" t="s">
        <v>672</v>
      </c>
      <c r="K144" s="20" t="s">
        <v>3524</v>
      </c>
      <c r="L144" s="21" t="s">
        <v>2600</v>
      </c>
      <c r="M144" s="10" t="s">
        <v>3550</v>
      </c>
      <c r="P144" s="20" t="s">
        <v>1137</v>
      </c>
      <c r="Q144" s="21" t="s">
        <v>1137</v>
      </c>
      <c r="R144" s="10" t="s">
        <v>1137</v>
      </c>
      <c r="U144" s="5" t="s">
        <v>1137</v>
      </c>
    </row>
    <row r="145" spans="1:21" x14ac:dyDescent="0.2">
      <c r="A145" s="3">
        <v>144</v>
      </c>
      <c r="B145" s="5" t="s">
        <v>1246</v>
      </c>
      <c r="C145" s="5" t="s">
        <v>1220</v>
      </c>
      <c r="D145" s="5" t="s">
        <v>1171</v>
      </c>
      <c r="E145" s="18" t="s">
        <v>673</v>
      </c>
      <c r="G145" s="6" t="s">
        <v>1713</v>
      </c>
      <c r="H145" s="6" t="s">
        <v>673</v>
      </c>
      <c r="K145" s="20" t="s">
        <v>3526</v>
      </c>
      <c r="M145" s="10" t="s">
        <v>3782</v>
      </c>
      <c r="P145" s="20" t="s">
        <v>1713</v>
      </c>
      <c r="R145" s="10" t="s">
        <v>1713</v>
      </c>
      <c r="U145" s="5" t="s">
        <v>1713</v>
      </c>
    </row>
    <row r="146" spans="1:21" x14ac:dyDescent="0.2">
      <c r="A146" s="3">
        <v>145</v>
      </c>
      <c r="B146" s="5" t="s">
        <v>1247</v>
      </c>
      <c r="C146" s="5" t="s">
        <v>1179</v>
      </c>
      <c r="D146" s="5" t="s">
        <v>1171</v>
      </c>
      <c r="E146" s="18" t="s">
        <v>674</v>
      </c>
      <c r="G146" s="6" t="s">
        <v>1713</v>
      </c>
      <c r="H146" s="6" t="s">
        <v>674</v>
      </c>
      <c r="K146" s="20" t="s">
        <v>3525</v>
      </c>
      <c r="M146" s="10" t="s">
        <v>3782</v>
      </c>
      <c r="P146" s="20" t="s">
        <v>1713</v>
      </c>
      <c r="R146" s="10" t="s">
        <v>1713</v>
      </c>
      <c r="U146" s="5" t="s">
        <v>1713</v>
      </c>
    </row>
    <row r="147" spans="1:21" x14ac:dyDescent="0.2">
      <c r="A147" s="3">
        <v>146</v>
      </c>
      <c r="B147" s="5" t="s">
        <v>1248</v>
      </c>
      <c r="C147" s="5" t="s">
        <v>1170</v>
      </c>
      <c r="D147" s="5" t="s">
        <v>1171</v>
      </c>
      <c r="E147" s="18" t="s">
        <v>675</v>
      </c>
      <c r="G147" s="6" t="s">
        <v>1713</v>
      </c>
      <c r="H147" s="6" t="s">
        <v>675</v>
      </c>
      <c r="K147" s="20" t="s">
        <v>3527</v>
      </c>
      <c r="M147" s="10" t="s">
        <v>3782</v>
      </c>
      <c r="P147" s="20" t="s">
        <v>1713</v>
      </c>
      <c r="R147" s="10" t="s">
        <v>1713</v>
      </c>
      <c r="U147" s="5" t="s">
        <v>1713</v>
      </c>
    </row>
    <row r="148" spans="1:21" x14ac:dyDescent="0.2">
      <c r="A148" s="3">
        <v>147</v>
      </c>
      <c r="B148" s="5" t="s">
        <v>144</v>
      </c>
      <c r="C148" s="5" t="s">
        <v>1249</v>
      </c>
      <c r="E148" s="18" t="s">
        <v>676</v>
      </c>
      <c r="G148" s="6" t="s">
        <v>1713</v>
      </c>
      <c r="H148" s="6" t="s">
        <v>676</v>
      </c>
      <c r="I148" s="11" t="s">
        <v>876</v>
      </c>
      <c r="J148" s="19" t="s">
        <v>674</v>
      </c>
      <c r="K148" s="20" t="s">
        <v>3538</v>
      </c>
      <c r="M148" s="10" t="s">
        <v>3708</v>
      </c>
      <c r="N148" s="9" t="s">
        <v>3147</v>
      </c>
      <c r="O148" s="12" t="s">
        <v>1798</v>
      </c>
      <c r="R148" s="10" t="s">
        <v>1713</v>
      </c>
      <c r="U148" s="5" t="s">
        <v>1713</v>
      </c>
    </row>
    <row r="149" spans="1:21" x14ac:dyDescent="0.2">
      <c r="A149" s="3">
        <v>148</v>
      </c>
      <c r="B149" s="5" t="s">
        <v>145</v>
      </c>
      <c r="C149" s="5" t="s">
        <v>1249</v>
      </c>
      <c r="E149" s="18" t="s">
        <v>677</v>
      </c>
      <c r="G149" s="6" t="s">
        <v>1713</v>
      </c>
      <c r="H149" s="6" t="s">
        <v>677</v>
      </c>
      <c r="I149" s="11" t="s">
        <v>877</v>
      </c>
      <c r="J149" s="19" t="s">
        <v>675</v>
      </c>
      <c r="K149" s="20" t="s">
        <v>3538</v>
      </c>
      <c r="M149" s="10" t="s">
        <v>3828</v>
      </c>
      <c r="N149" s="9" t="s">
        <v>3352</v>
      </c>
      <c r="O149" s="12" t="s">
        <v>1799</v>
      </c>
      <c r="P149" s="20" t="s">
        <v>3095</v>
      </c>
      <c r="R149" s="10" t="s">
        <v>3095</v>
      </c>
      <c r="S149" s="9" t="s">
        <v>3095</v>
      </c>
      <c r="T149" s="12" t="s">
        <v>3095</v>
      </c>
      <c r="U149" s="5" t="s">
        <v>3095</v>
      </c>
    </row>
    <row r="150" spans="1:21" x14ac:dyDescent="0.2">
      <c r="A150" s="3">
        <v>149</v>
      </c>
      <c r="B150" s="5" t="s">
        <v>146</v>
      </c>
      <c r="C150" s="5" t="s">
        <v>1249</v>
      </c>
      <c r="D150" s="5" t="s">
        <v>1171</v>
      </c>
      <c r="E150" s="18" t="s">
        <v>678</v>
      </c>
      <c r="G150" s="6" t="s">
        <v>1713</v>
      </c>
      <c r="H150" s="6" t="s">
        <v>678</v>
      </c>
      <c r="I150" s="11" t="s">
        <v>878</v>
      </c>
      <c r="J150" s="19" t="s">
        <v>676</v>
      </c>
      <c r="K150" s="20" t="s">
        <v>3389</v>
      </c>
      <c r="M150" s="10" t="s">
        <v>3550</v>
      </c>
      <c r="N150" s="9" t="s">
        <v>3550</v>
      </c>
      <c r="O150" s="12" t="s">
        <v>1804</v>
      </c>
      <c r="P150" s="20" t="s">
        <v>1766</v>
      </c>
      <c r="R150" s="10" t="s">
        <v>1766</v>
      </c>
      <c r="S150" s="9" t="s">
        <v>1766</v>
      </c>
      <c r="T150" s="12" t="s">
        <v>1766</v>
      </c>
      <c r="U150" s="5" t="s">
        <v>1766</v>
      </c>
    </row>
    <row r="151" spans="1:21" x14ac:dyDescent="0.2">
      <c r="A151" s="3">
        <v>150</v>
      </c>
      <c r="B151" s="5" t="s">
        <v>231</v>
      </c>
      <c r="C151" s="5" t="s">
        <v>1206</v>
      </c>
      <c r="E151" s="18" t="s">
        <v>679</v>
      </c>
      <c r="G151" s="6" t="s">
        <v>1713</v>
      </c>
      <c r="H151" s="6" t="s">
        <v>679</v>
      </c>
      <c r="J151" s="19" t="s">
        <v>761</v>
      </c>
      <c r="K151" s="20" t="s">
        <v>3528</v>
      </c>
      <c r="M151" s="10" t="s">
        <v>3783</v>
      </c>
      <c r="O151" s="12" t="s">
        <v>1813</v>
      </c>
      <c r="P151" s="20" t="s">
        <v>1713</v>
      </c>
      <c r="R151" s="10" t="s">
        <v>1713</v>
      </c>
      <c r="U151" s="5" t="s">
        <v>1713</v>
      </c>
    </row>
    <row r="152" spans="1:21" x14ac:dyDescent="0.2">
      <c r="A152" s="3">
        <v>151</v>
      </c>
      <c r="B152" s="5" t="s">
        <v>1250</v>
      </c>
      <c r="C152" s="5" t="s">
        <v>1206</v>
      </c>
      <c r="G152" s="6" t="s">
        <v>1713</v>
      </c>
      <c r="H152" s="6" t="s">
        <v>680</v>
      </c>
      <c r="M152" s="10" t="s">
        <v>3729</v>
      </c>
      <c r="P152" s="20" t="s">
        <v>1713</v>
      </c>
      <c r="R152" s="10" t="s">
        <v>1713</v>
      </c>
      <c r="U152" s="5" t="s">
        <v>1713</v>
      </c>
    </row>
    <row r="153" spans="1:21" x14ac:dyDescent="0.2">
      <c r="A153" s="3">
        <v>152</v>
      </c>
      <c r="B153" s="5" t="s">
        <v>0</v>
      </c>
      <c r="C153" s="5" t="s">
        <v>1168</v>
      </c>
      <c r="G153" s="6" t="s">
        <v>1713</v>
      </c>
      <c r="H153" s="6" t="s">
        <v>681</v>
      </c>
      <c r="J153" s="19" t="s">
        <v>930</v>
      </c>
      <c r="M153" s="10" t="s">
        <v>3706</v>
      </c>
      <c r="O153" s="12" t="s">
        <v>1677</v>
      </c>
      <c r="R153" s="10" t="s">
        <v>1713</v>
      </c>
      <c r="T153" s="12" t="s">
        <v>1713</v>
      </c>
      <c r="U153" s="5" t="s">
        <v>1713</v>
      </c>
    </row>
    <row r="154" spans="1:21" x14ac:dyDescent="0.2">
      <c r="A154" s="3">
        <v>153</v>
      </c>
      <c r="B154" s="5" t="s">
        <v>1</v>
      </c>
      <c r="C154" s="5" t="s">
        <v>1168</v>
      </c>
      <c r="G154" s="6" t="s">
        <v>1713</v>
      </c>
      <c r="H154" s="6" t="s">
        <v>682</v>
      </c>
      <c r="J154" s="19" t="s">
        <v>931</v>
      </c>
      <c r="M154" s="10" t="s">
        <v>3550</v>
      </c>
      <c r="O154" s="12" t="s">
        <v>1804</v>
      </c>
      <c r="R154" s="10" t="s">
        <v>1714</v>
      </c>
      <c r="T154" s="12" t="s">
        <v>1714</v>
      </c>
      <c r="U154" s="5" t="s">
        <v>1714</v>
      </c>
    </row>
    <row r="155" spans="1:21" x14ac:dyDescent="0.2">
      <c r="A155" s="3">
        <v>154</v>
      </c>
      <c r="B155" s="5" t="s">
        <v>2</v>
      </c>
      <c r="C155" s="5" t="s">
        <v>1168</v>
      </c>
      <c r="G155" s="6" t="s">
        <v>1713</v>
      </c>
      <c r="H155" s="6" t="s">
        <v>683</v>
      </c>
      <c r="J155" s="19" t="s">
        <v>932</v>
      </c>
      <c r="M155" s="10" t="s">
        <v>3550</v>
      </c>
      <c r="O155" s="12" t="s">
        <v>1804</v>
      </c>
      <c r="R155" s="10" t="s">
        <v>1715</v>
      </c>
      <c r="T155" s="12" t="s">
        <v>1715</v>
      </c>
      <c r="U155" s="5" t="s">
        <v>1715</v>
      </c>
    </row>
    <row r="156" spans="1:21" x14ac:dyDescent="0.2">
      <c r="A156" s="3">
        <v>155</v>
      </c>
      <c r="B156" s="5" t="s">
        <v>1251</v>
      </c>
      <c r="C156" s="5" t="s">
        <v>1170</v>
      </c>
      <c r="G156" s="6" t="s">
        <v>1713</v>
      </c>
      <c r="H156" s="6" t="s">
        <v>684</v>
      </c>
      <c r="M156" s="10" t="s">
        <v>3707</v>
      </c>
      <c r="R156" s="10" t="s">
        <v>1713</v>
      </c>
      <c r="U156" s="5" t="s">
        <v>1713</v>
      </c>
    </row>
    <row r="157" spans="1:21" x14ac:dyDescent="0.2">
      <c r="A157" s="3">
        <v>156</v>
      </c>
      <c r="B157" s="5" t="s">
        <v>1252</v>
      </c>
      <c r="C157" s="5" t="s">
        <v>1170</v>
      </c>
      <c r="G157" s="6" t="s">
        <v>1713</v>
      </c>
      <c r="H157" s="6" t="s">
        <v>685</v>
      </c>
      <c r="M157" s="10" t="s">
        <v>3730</v>
      </c>
      <c r="R157" s="10" t="s">
        <v>3576</v>
      </c>
      <c r="U157" s="5" t="s">
        <v>3576</v>
      </c>
    </row>
    <row r="158" spans="1:21" x14ac:dyDescent="0.2">
      <c r="A158" s="3">
        <v>157</v>
      </c>
      <c r="B158" s="5" t="s">
        <v>1253</v>
      </c>
      <c r="C158" s="5" t="s">
        <v>1170</v>
      </c>
      <c r="G158" s="6" t="s">
        <v>1713</v>
      </c>
      <c r="H158" s="6" t="s">
        <v>686</v>
      </c>
      <c r="M158" s="10" t="s">
        <v>3730</v>
      </c>
      <c r="R158" s="10" t="s">
        <v>3577</v>
      </c>
      <c r="U158" s="5" t="s">
        <v>3577</v>
      </c>
    </row>
    <row r="159" spans="1:21" x14ac:dyDescent="0.2">
      <c r="A159" s="3">
        <v>158</v>
      </c>
      <c r="B159" s="5" t="s">
        <v>6</v>
      </c>
      <c r="C159" s="5" t="s">
        <v>1172</v>
      </c>
      <c r="G159" s="6" t="s">
        <v>1713</v>
      </c>
      <c r="H159" s="6" t="s">
        <v>687</v>
      </c>
      <c r="J159" s="19" t="s">
        <v>936</v>
      </c>
      <c r="K159" s="27"/>
      <c r="M159" s="10" t="s">
        <v>3708</v>
      </c>
      <c r="O159" s="12" t="s">
        <v>1678</v>
      </c>
      <c r="R159" s="10" t="s">
        <v>1713</v>
      </c>
      <c r="T159" s="12" t="s">
        <v>1713</v>
      </c>
      <c r="U159" s="5" t="s">
        <v>1713</v>
      </c>
    </row>
    <row r="160" spans="1:21" x14ac:dyDescent="0.2">
      <c r="A160" s="3">
        <v>159</v>
      </c>
      <c r="B160" s="5" t="s">
        <v>7</v>
      </c>
      <c r="C160" s="5" t="s">
        <v>1172</v>
      </c>
      <c r="G160" s="6" t="s">
        <v>1713</v>
      </c>
      <c r="H160" s="6" t="s">
        <v>688</v>
      </c>
      <c r="J160" s="19" t="s">
        <v>937</v>
      </c>
      <c r="M160" s="10" t="s">
        <v>3730</v>
      </c>
      <c r="O160" s="12" t="s">
        <v>1804</v>
      </c>
      <c r="R160" s="10" t="s">
        <v>1718</v>
      </c>
      <c r="T160" s="12" t="s">
        <v>1718</v>
      </c>
      <c r="U160" s="5" t="s">
        <v>1718</v>
      </c>
    </row>
    <row r="161" spans="1:21" x14ac:dyDescent="0.2">
      <c r="A161" s="3">
        <v>160</v>
      </c>
      <c r="B161" s="5" t="s">
        <v>8</v>
      </c>
      <c r="C161" s="5" t="s">
        <v>1172</v>
      </c>
      <c r="G161" s="6" t="s">
        <v>1713</v>
      </c>
      <c r="H161" s="6" t="s">
        <v>689</v>
      </c>
      <c r="J161" s="19" t="s">
        <v>538</v>
      </c>
      <c r="M161" s="10" t="s">
        <v>3730</v>
      </c>
      <c r="O161" s="12" t="s">
        <v>1804</v>
      </c>
      <c r="R161" s="10" t="s">
        <v>1719</v>
      </c>
      <c r="T161" s="12" t="s">
        <v>1719</v>
      </c>
      <c r="U161" s="5" t="s">
        <v>1719</v>
      </c>
    </row>
    <row r="162" spans="1:21" x14ac:dyDescent="0.2">
      <c r="A162" s="3">
        <v>161</v>
      </c>
      <c r="B162" s="5" t="s">
        <v>1254</v>
      </c>
      <c r="C162" s="5" t="s">
        <v>1174</v>
      </c>
      <c r="G162" s="6" t="s">
        <v>1713</v>
      </c>
      <c r="H162" s="6" t="s">
        <v>690</v>
      </c>
      <c r="M162" s="10" t="s">
        <v>3710</v>
      </c>
      <c r="R162" s="10" t="s">
        <v>1713</v>
      </c>
      <c r="U162" s="5" t="s">
        <v>1713</v>
      </c>
    </row>
    <row r="163" spans="1:21" x14ac:dyDescent="0.2">
      <c r="A163" s="3">
        <v>162</v>
      </c>
      <c r="B163" s="5" t="s">
        <v>1255</v>
      </c>
      <c r="C163" s="5" t="s">
        <v>1174</v>
      </c>
      <c r="G163" s="6" t="s">
        <v>1713</v>
      </c>
      <c r="H163" s="6" t="s">
        <v>691</v>
      </c>
      <c r="M163" s="10" t="s">
        <v>3710</v>
      </c>
      <c r="R163" s="10" t="s">
        <v>3578</v>
      </c>
      <c r="U163" s="5" t="s">
        <v>3578</v>
      </c>
    </row>
    <row r="164" spans="1:21" x14ac:dyDescent="0.2">
      <c r="A164" s="3">
        <v>163</v>
      </c>
      <c r="B164" s="5" t="s">
        <v>250</v>
      </c>
      <c r="C164" s="5" t="s">
        <v>1174</v>
      </c>
      <c r="D164" s="5" t="s">
        <v>1171</v>
      </c>
      <c r="F164" s="4" t="s">
        <v>548</v>
      </c>
      <c r="G164" s="6" t="s">
        <v>635</v>
      </c>
      <c r="H164" s="6" t="s">
        <v>692</v>
      </c>
      <c r="L164" s="21" t="s">
        <v>2517</v>
      </c>
      <c r="M164" s="10" t="s">
        <v>3731</v>
      </c>
      <c r="R164" s="10" t="s">
        <v>1713</v>
      </c>
      <c r="U164" s="5" t="s">
        <v>1713</v>
      </c>
    </row>
    <row r="165" spans="1:21" x14ac:dyDescent="0.2">
      <c r="A165" s="3">
        <v>164</v>
      </c>
      <c r="B165" s="5" t="s">
        <v>251</v>
      </c>
      <c r="C165" s="5" t="s">
        <v>1174</v>
      </c>
      <c r="D165" s="5" t="s">
        <v>1171</v>
      </c>
      <c r="F165" s="4" t="s">
        <v>549</v>
      </c>
      <c r="G165" s="6" t="s">
        <v>636</v>
      </c>
      <c r="H165" s="6" t="s">
        <v>693</v>
      </c>
      <c r="L165" s="21" t="s">
        <v>2518</v>
      </c>
      <c r="M165" s="10" t="s">
        <v>3829</v>
      </c>
      <c r="Q165" s="21" t="s">
        <v>958</v>
      </c>
      <c r="R165" s="10" t="s">
        <v>958</v>
      </c>
      <c r="U165" s="5" t="s">
        <v>958</v>
      </c>
    </row>
    <row r="166" spans="1:21" x14ac:dyDescent="0.2">
      <c r="A166" s="3">
        <v>165</v>
      </c>
      <c r="B166" s="5" t="s">
        <v>1256</v>
      </c>
      <c r="C166" s="5" t="s">
        <v>1173</v>
      </c>
      <c r="D166" s="5" t="s">
        <v>1171</v>
      </c>
      <c r="G166" s="6" t="s">
        <v>1713</v>
      </c>
      <c r="H166" s="6" t="s">
        <v>694</v>
      </c>
      <c r="M166" s="10" t="s">
        <v>3730</v>
      </c>
      <c r="R166" s="10" t="s">
        <v>3552</v>
      </c>
      <c r="U166" s="5" t="s">
        <v>3552</v>
      </c>
    </row>
    <row r="167" spans="1:21" x14ac:dyDescent="0.2">
      <c r="A167" s="3">
        <v>166</v>
      </c>
      <c r="B167" s="5" t="s">
        <v>1257</v>
      </c>
      <c r="C167" s="5" t="s">
        <v>1173</v>
      </c>
      <c r="D167" s="5" t="s">
        <v>1171</v>
      </c>
      <c r="G167" s="6" t="s">
        <v>1713</v>
      </c>
      <c r="H167" s="6" t="s">
        <v>695</v>
      </c>
      <c r="M167" s="10" t="s">
        <v>3706</v>
      </c>
      <c r="R167" s="10" t="s">
        <v>3579</v>
      </c>
      <c r="U167" s="5" t="s">
        <v>3579</v>
      </c>
    </row>
    <row r="168" spans="1:21" x14ac:dyDescent="0.2">
      <c r="A168" s="3">
        <v>167</v>
      </c>
      <c r="B168" s="5" t="s">
        <v>57</v>
      </c>
      <c r="C168" s="5" t="s">
        <v>1173</v>
      </c>
      <c r="D168" s="5" t="s">
        <v>1169</v>
      </c>
      <c r="G168" s="6" t="s">
        <v>1713</v>
      </c>
      <c r="H168" s="6" t="s">
        <v>696</v>
      </c>
      <c r="J168" s="19" t="s">
        <v>587</v>
      </c>
      <c r="M168" s="10" t="s">
        <v>3730</v>
      </c>
      <c r="O168" s="13" t="s">
        <v>1683</v>
      </c>
      <c r="R168" s="10" t="s">
        <v>3553</v>
      </c>
      <c r="T168" s="12" t="s">
        <v>1713</v>
      </c>
      <c r="U168" s="5" t="s">
        <v>3553</v>
      </c>
    </row>
    <row r="169" spans="1:21" x14ac:dyDescent="0.2">
      <c r="A169" s="3">
        <v>168</v>
      </c>
      <c r="B169" s="5" t="s">
        <v>58</v>
      </c>
      <c r="C169" s="5" t="s">
        <v>1173</v>
      </c>
      <c r="D169" s="5" t="s">
        <v>1169</v>
      </c>
      <c r="G169" s="6" t="s">
        <v>1713</v>
      </c>
      <c r="H169" s="6" t="s">
        <v>697</v>
      </c>
      <c r="J169" s="19" t="s">
        <v>588</v>
      </c>
      <c r="M169" s="10" t="s">
        <v>3706</v>
      </c>
      <c r="O169" s="13" t="s">
        <v>1691</v>
      </c>
      <c r="R169" s="10" t="s">
        <v>1748</v>
      </c>
      <c r="T169" s="12" t="s">
        <v>1748</v>
      </c>
      <c r="U169" s="5" t="s">
        <v>1748</v>
      </c>
    </row>
    <row r="170" spans="1:21" x14ac:dyDescent="0.2">
      <c r="A170" s="3">
        <v>169</v>
      </c>
      <c r="B170" s="5" t="s">
        <v>1258</v>
      </c>
      <c r="C170" s="5" t="s">
        <v>1169</v>
      </c>
      <c r="D170" s="5" t="s">
        <v>1171</v>
      </c>
      <c r="G170" s="6" t="s">
        <v>559</v>
      </c>
      <c r="H170" s="6" t="s">
        <v>698</v>
      </c>
      <c r="M170" s="10" t="s">
        <v>3550</v>
      </c>
      <c r="R170" s="10" t="s">
        <v>3566</v>
      </c>
      <c r="U170" s="5" t="s">
        <v>3566</v>
      </c>
    </row>
    <row r="171" spans="1:21" x14ac:dyDescent="0.2">
      <c r="A171" s="3">
        <v>170</v>
      </c>
      <c r="B171" s="5" t="s">
        <v>394</v>
      </c>
      <c r="C171" s="5" t="s">
        <v>1172</v>
      </c>
      <c r="D171" s="5" t="s">
        <v>1179</v>
      </c>
      <c r="F171" s="4" t="s">
        <v>749</v>
      </c>
      <c r="G171" s="6" t="s">
        <v>1713</v>
      </c>
      <c r="H171" s="6" t="s">
        <v>699</v>
      </c>
      <c r="L171" s="21" t="s">
        <v>2551</v>
      </c>
      <c r="M171" s="10" t="s">
        <v>3708</v>
      </c>
      <c r="R171" s="10" t="s">
        <v>1713</v>
      </c>
      <c r="U171" s="5" t="s">
        <v>1713</v>
      </c>
    </row>
    <row r="172" spans="1:21" x14ac:dyDescent="0.2">
      <c r="A172" s="3">
        <v>171</v>
      </c>
      <c r="B172" s="5" t="s">
        <v>395</v>
      </c>
      <c r="C172" s="5" t="s">
        <v>1172</v>
      </c>
      <c r="D172" s="5" t="s">
        <v>1179</v>
      </c>
      <c r="F172" s="4" t="s">
        <v>750</v>
      </c>
      <c r="G172" s="6" t="s">
        <v>1713</v>
      </c>
      <c r="H172" s="6" t="s">
        <v>700</v>
      </c>
      <c r="L172" s="21" t="s">
        <v>1132</v>
      </c>
      <c r="M172" s="10" t="s">
        <v>3708</v>
      </c>
      <c r="Q172" s="21" t="s">
        <v>1050</v>
      </c>
      <c r="R172" s="10" t="s">
        <v>1050</v>
      </c>
      <c r="U172" s="5" t="s">
        <v>1050</v>
      </c>
    </row>
    <row r="173" spans="1:21" x14ac:dyDescent="0.2">
      <c r="A173" s="3">
        <v>172</v>
      </c>
      <c r="B173" s="5" t="s">
        <v>51</v>
      </c>
      <c r="C173" s="5" t="s">
        <v>1179</v>
      </c>
      <c r="F173" s="4" t="s">
        <v>722</v>
      </c>
      <c r="G173" s="6" t="s">
        <v>632</v>
      </c>
      <c r="H173" s="6" t="s">
        <v>701</v>
      </c>
      <c r="I173" s="11" t="s">
        <v>602</v>
      </c>
      <c r="J173" s="19" t="s">
        <v>581</v>
      </c>
      <c r="L173" s="21" t="s">
        <v>2506</v>
      </c>
      <c r="M173" s="10" t="s">
        <v>3810</v>
      </c>
      <c r="N173" s="9" t="s">
        <v>3160</v>
      </c>
      <c r="O173" s="13" t="s">
        <v>1679</v>
      </c>
      <c r="Q173" s="21" t="s">
        <v>2498</v>
      </c>
      <c r="T173" s="12" t="s">
        <v>1713</v>
      </c>
      <c r="U173" s="5" t="s">
        <v>2498</v>
      </c>
    </row>
    <row r="174" spans="1:21" x14ac:dyDescent="0.2">
      <c r="A174" s="3">
        <v>173</v>
      </c>
      <c r="B174" s="5" t="s">
        <v>54</v>
      </c>
      <c r="C174" s="5" t="s">
        <v>1189</v>
      </c>
      <c r="F174" s="4" t="s">
        <v>783</v>
      </c>
      <c r="G174" s="6" t="s">
        <v>628</v>
      </c>
      <c r="H174" s="6" t="s">
        <v>702</v>
      </c>
      <c r="J174" s="19" t="s">
        <v>584</v>
      </c>
      <c r="L174" s="21" t="s">
        <v>2506</v>
      </c>
      <c r="M174" s="10" t="s">
        <v>3811</v>
      </c>
      <c r="O174" s="13" t="s">
        <v>2407</v>
      </c>
      <c r="Q174" s="21" t="s">
        <v>2502</v>
      </c>
      <c r="T174" s="12" t="s">
        <v>1713</v>
      </c>
      <c r="U174" s="5" t="s">
        <v>2502</v>
      </c>
    </row>
    <row r="175" spans="1:21" x14ac:dyDescent="0.2">
      <c r="A175" s="3">
        <v>174</v>
      </c>
      <c r="B175" s="5" t="s">
        <v>1259</v>
      </c>
      <c r="C175" s="5" t="s">
        <v>1174</v>
      </c>
      <c r="D175" s="5" t="s">
        <v>1189</v>
      </c>
      <c r="G175" s="6" t="s">
        <v>1713</v>
      </c>
      <c r="H175" s="6" t="s">
        <v>703</v>
      </c>
      <c r="I175" s="11" t="s">
        <v>588</v>
      </c>
      <c r="M175" s="10" t="s">
        <v>3711</v>
      </c>
      <c r="N175" s="9" t="s">
        <v>3148</v>
      </c>
      <c r="R175" s="10" t="s">
        <v>1713</v>
      </c>
      <c r="U175" s="5" t="s">
        <v>1713</v>
      </c>
    </row>
    <row r="176" spans="1:21" x14ac:dyDescent="0.2">
      <c r="A176" s="3">
        <v>175</v>
      </c>
      <c r="B176" s="5" t="s">
        <v>424</v>
      </c>
      <c r="C176" s="5" t="s">
        <v>1189</v>
      </c>
      <c r="F176" s="4" t="s">
        <v>786</v>
      </c>
      <c r="G176" s="6" t="s">
        <v>1713</v>
      </c>
      <c r="H176" s="6" t="s">
        <v>704</v>
      </c>
      <c r="L176" s="21" t="s">
        <v>2732</v>
      </c>
      <c r="M176" s="10" t="s">
        <v>3830</v>
      </c>
      <c r="R176" s="10" t="s">
        <v>1713</v>
      </c>
      <c r="U176" s="5" t="s">
        <v>1713</v>
      </c>
    </row>
    <row r="177" spans="1:21" x14ac:dyDescent="0.2">
      <c r="A177" s="3">
        <v>176</v>
      </c>
      <c r="B177" s="5" t="s">
        <v>425</v>
      </c>
      <c r="C177" s="5" t="s">
        <v>1189</v>
      </c>
      <c r="D177" s="5" t="s">
        <v>1171</v>
      </c>
      <c r="F177" s="4" t="s">
        <v>787</v>
      </c>
      <c r="G177" s="6" t="s">
        <v>1713</v>
      </c>
      <c r="H177" s="6" t="s">
        <v>705</v>
      </c>
      <c r="L177" s="21" t="s">
        <v>2733</v>
      </c>
      <c r="M177" s="10" t="s">
        <v>3550</v>
      </c>
      <c r="Q177" s="21" t="s">
        <v>1064</v>
      </c>
      <c r="R177" s="10" t="s">
        <v>1064</v>
      </c>
      <c r="U177" s="5" t="s">
        <v>1064</v>
      </c>
    </row>
    <row r="178" spans="1:21" x14ac:dyDescent="0.2">
      <c r="A178" s="3">
        <v>177</v>
      </c>
      <c r="B178" s="5" t="s">
        <v>309</v>
      </c>
      <c r="C178" s="5" t="s">
        <v>1206</v>
      </c>
      <c r="D178" s="5" t="s">
        <v>1171</v>
      </c>
      <c r="F178" s="4" t="s">
        <v>621</v>
      </c>
      <c r="G178" s="6" t="s">
        <v>1713</v>
      </c>
      <c r="H178" s="6" t="s">
        <v>706</v>
      </c>
      <c r="L178" s="21" t="s">
        <v>2575</v>
      </c>
      <c r="M178" s="10" t="s">
        <v>3710</v>
      </c>
      <c r="R178" s="10" t="s">
        <v>1713</v>
      </c>
      <c r="U178" s="5" t="s">
        <v>1713</v>
      </c>
    </row>
    <row r="179" spans="1:21" x14ac:dyDescent="0.2">
      <c r="A179" s="3">
        <v>178</v>
      </c>
      <c r="B179" s="5" t="s">
        <v>310</v>
      </c>
      <c r="C179" s="5" t="s">
        <v>1206</v>
      </c>
      <c r="D179" s="5" t="s">
        <v>1171</v>
      </c>
      <c r="F179" s="4" t="s">
        <v>622</v>
      </c>
      <c r="G179" s="6" t="s">
        <v>1713</v>
      </c>
      <c r="H179" s="6" t="s">
        <v>707</v>
      </c>
      <c r="L179" s="21" t="s">
        <v>2576</v>
      </c>
      <c r="M179" s="10" t="s">
        <v>3550</v>
      </c>
      <c r="Q179" s="21" t="s">
        <v>995</v>
      </c>
      <c r="R179" s="10" t="s">
        <v>995</v>
      </c>
      <c r="U179" s="5" t="s">
        <v>995</v>
      </c>
    </row>
    <row r="180" spans="1:21" x14ac:dyDescent="0.2">
      <c r="A180" s="3">
        <v>179</v>
      </c>
      <c r="B180" s="5" t="s">
        <v>23</v>
      </c>
      <c r="C180" s="5" t="s">
        <v>1179</v>
      </c>
      <c r="G180" s="6" t="s">
        <v>1713</v>
      </c>
      <c r="H180" s="6" t="s">
        <v>708</v>
      </c>
      <c r="I180" s="11" t="s">
        <v>630</v>
      </c>
      <c r="J180" s="19" t="s">
        <v>553</v>
      </c>
      <c r="M180" s="10" t="s">
        <v>3706</v>
      </c>
      <c r="N180" s="9" t="s">
        <v>3180</v>
      </c>
      <c r="O180" s="13" t="s">
        <v>1679</v>
      </c>
      <c r="R180" s="10" t="s">
        <v>1713</v>
      </c>
      <c r="T180" s="12" t="s">
        <v>1713</v>
      </c>
      <c r="U180" s="5" t="s">
        <v>1713</v>
      </c>
    </row>
    <row r="181" spans="1:21" x14ac:dyDescent="0.2">
      <c r="A181" s="3">
        <v>180</v>
      </c>
      <c r="B181" s="5" t="s">
        <v>24</v>
      </c>
      <c r="C181" s="5" t="s">
        <v>1179</v>
      </c>
      <c r="G181" s="6" t="s">
        <v>1713</v>
      </c>
      <c r="H181" s="6" t="s">
        <v>709</v>
      </c>
      <c r="I181" s="11" t="s">
        <v>631</v>
      </c>
      <c r="J181" s="19" t="s">
        <v>554</v>
      </c>
      <c r="M181" s="10" t="s">
        <v>3706</v>
      </c>
      <c r="N181" s="9" t="s">
        <v>3181</v>
      </c>
      <c r="O181" s="13" t="s">
        <v>1789</v>
      </c>
      <c r="R181" s="10" t="s">
        <v>1728</v>
      </c>
      <c r="S181" s="9" t="s">
        <v>1728</v>
      </c>
      <c r="T181" s="12" t="s">
        <v>1728</v>
      </c>
      <c r="U181" s="5" t="s">
        <v>1728</v>
      </c>
    </row>
    <row r="182" spans="1:21" x14ac:dyDescent="0.2">
      <c r="A182" s="3">
        <v>181</v>
      </c>
      <c r="B182" s="5" t="s">
        <v>25</v>
      </c>
      <c r="C182" s="5" t="s">
        <v>1179</v>
      </c>
      <c r="G182" s="6" t="s">
        <v>1713</v>
      </c>
      <c r="H182" s="6" t="s">
        <v>710</v>
      </c>
      <c r="I182" s="11" t="s">
        <v>632</v>
      </c>
      <c r="J182" s="19" t="s">
        <v>555</v>
      </c>
      <c r="M182" s="10" t="s">
        <v>3550</v>
      </c>
      <c r="N182" s="9" t="s">
        <v>3182</v>
      </c>
      <c r="O182" s="13" t="s">
        <v>1804</v>
      </c>
      <c r="R182" s="10" t="s">
        <v>1729</v>
      </c>
      <c r="S182" s="9" t="s">
        <v>1729</v>
      </c>
      <c r="T182" s="12" t="s">
        <v>1729</v>
      </c>
      <c r="U182" s="5" t="s">
        <v>1729</v>
      </c>
    </row>
    <row r="183" spans="1:21" x14ac:dyDescent="0.2">
      <c r="A183" s="3">
        <v>182</v>
      </c>
      <c r="B183" s="5" t="s">
        <v>287</v>
      </c>
      <c r="C183" s="5" t="s">
        <v>1168</v>
      </c>
      <c r="F183" s="4" t="s">
        <v>587</v>
      </c>
      <c r="G183" s="6" t="s">
        <v>1713</v>
      </c>
      <c r="H183" s="6" t="s">
        <v>711</v>
      </c>
      <c r="L183" s="21" t="s">
        <v>2548</v>
      </c>
      <c r="M183" s="10" t="s">
        <v>3550</v>
      </c>
      <c r="Q183" s="21" t="s">
        <v>1112</v>
      </c>
      <c r="R183" s="10" t="s">
        <v>1112</v>
      </c>
      <c r="U183" s="5" t="s">
        <v>1112</v>
      </c>
    </row>
    <row r="184" spans="1:21" x14ac:dyDescent="0.2">
      <c r="A184" s="3">
        <v>183</v>
      </c>
      <c r="B184" s="5" t="s">
        <v>1260</v>
      </c>
      <c r="C184" s="5" t="s">
        <v>1172</v>
      </c>
      <c r="D184" s="5" t="s">
        <v>1189</v>
      </c>
      <c r="G184" s="6" t="s">
        <v>654</v>
      </c>
      <c r="H184" s="6" t="s">
        <v>712</v>
      </c>
      <c r="I184" s="11" t="s">
        <v>576</v>
      </c>
      <c r="M184" s="10" t="s">
        <v>3732</v>
      </c>
      <c r="N184" s="9" t="s">
        <v>3137</v>
      </c>
      <c r="R184" s="10" t="s">
        <v>3043</v>
      </c>
      <c r="S184" s="9" t="s">
        <v>3043</v>
      </c>
      <c r="U184" s="5" t="s">
        <v>3043</v>
      </c>
    </row>
    <row r="185" spans="1:21" x14ac:dyDescent="0.2">
      <c r="A185" s="3">
        <v>184</v>
      </c>
      <c r="B185" s="5" t="s">
        <v>1261</v>
      </c>
      <c r="C185" s="5" t="s">
        <v>1172</v>
      </c>
      <c r="D185" s="5" t="s">
        <v>1189</v>
      </c>
      <c r="G185" s="6" t="s">
        <v>655</v>
      </c>
      <c r="H185" s="6" t="s">
        <v>713</v>
      </c>
      <c r="I185" s="11" t="s">
        <v>577</v>
      </c>
      <c r="M185" s="10" t="s">
        <v>3550</v>
      </c>
      <c r="N185" s="9" t="s">
        <v>3138</v>
      </c>
      <c r="R185" s="10" t="s">
        <v>3044</v>
      </c>
      <c r="S185" s="9" t="s">
        <v>3044</v>
      </c>
      <c r="U185" s="5" t="s">
        <v>3044</v>
      </c>
    </row>
    <row r="186" spans="1:21" x14ac:dyDescent="0.2">
      <c r="A186" s="3">
        <v>185</v>
      </c>
      <c r="B186" s="5" t="s">
        <v>423</v>
      </c>
      <c r="C186" s="5" t="s">
        <v>1210</v>
      </c>
      <c r="F186" s="4" t="s">
        <v>782</v>
      </c>
      <c r="G186" s="6" t="s">
        <v>622</v>
      </c>
      <c r="H186" s="6" t="s">
        <v>714</v>
      </c>
      <c r="I186" s="11" t="s">
        <v>617</v>
      </c>
      <c r="L186" s="21" t="s">
        <v>2518</v>
      </c>
      <c r="M186" s="10" t="s">
        <v>3831</v>
      </c>
      <c r="N186" s="9" t="s">
        <v>3169</v>
      </c>
      <c r="Q186" s="21" t="s">
        <v>2390</v>
      </c>
      <c r="R186" s="10" t="s">
        <v>2390</v>
      </c>
      <c r="S186" s="9" t="s">
        <v>2390</v>
      </c>
      <c r="U186" s="5" t="s">
        <v>2390</v>
      </c>
    </row>
    <row r="187" spans="1:21" x14ac:dyDescent="0.2">
      <c r="A187" s="3">
        <v>186</v>
      </c>
      <c r="B187" s="5" t="s">
        <v>1262</v>
      </c>
      <c r="C187" s="5" t="s">
        <v>1172</v>
      </c>
      <c r="G187" s="6" t="s">
        <v>1713</v>
      </c>
      <c r="H187" s="6" t="s">
        <v>715</v>
      </c>
      <c r="M187" s="10" t="s">
        <v>3550</v>
      </c>
      <c r="R187" s="10" t="s">
        <v>1713</v>
      </c>
      <c r="U187" s="5" t="s">
        <v>1713</v>
      </c>
    </row>
    <row r="188" spans="1:21" x14ac:dyDescent="0.2">
      <c r="A188" s="3">
        <v>187</v>
      </c>
      <c r="B188" s="5" t="s">
        <v>1263</v>
      </c>
      <c r="C188" s="5" t="s">
        <v>1168</v>
      </c>
      <c r="D188" s="5" t="s">
        <v>1171</v>
      </c>
      <c r="G188" s="6" t="s">
        <v>1713</v>
      </c>
      <c r="H188" s="6" t="s">
        <v>716</v>
      </c>
      <c r="I188" s="11" t="s">
        <v>545</v>
      </c>
      <c r="M188" s="10" t="s">
        <v>3706</v>
      </c>
      <c r="N188" s="9" t="s">
        <v>3110</v>
      </c>
      <c r="R188" s="10" t="s">
        <v>1713</v>
      </c>
      <c r="U188" s="5" t="s">
        <v>1713</v>
      </c>
    </row>
    <row r="189" spans="1:21" x14ac:dyDescent="0.2">
      <c r="A189" s="3">
        <v>188</v>
      </c>
      <c r="B189" s="5" t="s">
        <v>1264</v>
      </c>
      <c r="C189" s="5" t="s">
        <v>1168</v>
      </c>
      <c r="D189" s="5" t="s">
        <v>1171</v>
      </c>
      <c r="G189" s="6" t="s">
        <v>1713</v>
      </c>
      <c r="H189" s="6" t="s">
        <v>717</v>
      </c>
      <c r="I189" s="11" t="s">
        <v>546</v>
      </c>
      <c r="M189" s="10" t="s">
        <v>3706</v>
      </c>
      <c r="N189" s="9" t="s">
        <v>3111</v>
      </c>
      <c r="R189" s="10" t="s">
        <v>3038</v>
      </c>
      <c r="S189" s="9" t="s">
        <v>3038</v>
      </c>
      <c r="U189" s="5" t="s">
        <v>3038</v>
      </c>
    </row>
    <row r="190" spans="1:21" x14ac:dyDescent="0.2">
      <c r="A190" s="3">
        <v>189</v>
      </c>
      <c r="B190" s="5" t="s">
        <v>1265</v>
      </c>
      <c r="C190" s="5" t="s">
        <v>1168</v>
      </c>
      <c r="D190" s="5" t="s">
        <v>1171</v>
      </c>
      <c r="G190" s="6" t="s">
        <v>1713</v>
      </c>
      <c r="H190" s="6" t="s">
        <v>718</v>
      </c>
      <c r="I190" s="11" t="s">
        <v>547</v>
      </c>
      <c r="M190" s="10" t="s">
        <v>3550</v>
      </c>
      <c r="N190" s="9" t="s">
        <v>3112</v>
      </c>
      <c r="R190" s="10" t="s">
        <v>3039</v>
      </c>
      <c r="S190" s="9" t="s">
        <v>3039</v>
      </c>
      <c r="U190" s="5" t="s">
        <v>3039</v>
      </c>
    </row>
    <row r="191" spans="1:21" x14ac:dyDescent="0.2">
      <c r="A191" s="3">
        <v>190</v>
      </c>
      <c r="B191" s="5" t="s">
        <v>1266</v>
      </c>
      <c r="C191" s="5" t="s">
        <v>1174</v>
      </c>
      <c r="G191" s="6" t="s">
        <v>592</v>
      </c>
      <c r="H191" s="6" t="s">
        <v>719</v>
      </c>
      <c r="M191" s="10" t="s">
        <v>3733</v>
      </c>
      <c r="R191" s="10" t="s">
        <v>1713</v>
      </c>
      <c r="U191" s="5" t="s">
        <v>1713</v>
      </c>
    </row>
    <row r="192" spans="1:21" x14ac:dyDescent="0.2">
      <c r="A192" s="3">
        <v>191</v>
      </c>
      <c r="B192" s="5" t="s">
        <v>1267</v>
      </c>
      <c r="C192" s="5" t="s">
        <v>1168</v>
      </c>
      <c r="G192" s="6" t="s">
        <v>1713</v>
      </c>
      <c r="H192" s="6" t="s">
        <v>720</v>
      </c>
      <c r="I192" s="11" t="s">
        <v>560</v>
      </c>
      <c r="M192" s="10" t="s">
        <v>3706</v>
      </c>
      <c r="N192" s="9" t="s">
        <v>3124</v>
      </c>
      <c r="R192" s="10" t="s">
        <v>1713</v>
      </c>
      <c r="U192" s="5" t="s">
        <v>1713</v>
      </c>
    </row>
    <row r="193" spans="1:21" x14ac:dyDescent="0.2">
      <c r="A193" s="3">
        <v>192</v>
      </c>
      <c r="B193" s="5" t="s">
        <v>1268</v>
      </c>
      <c r="C193" s="5" t="s">
        <v>1168</v>
      </c>
      <c r="G193" s="6" t="s">
        <v>1713</v>
      </c>
      <c r="H193" s="6" t="s">
        <v>721</v>
      </c>
      <c r="I193" s="11" t="s">
        <v>561</v>
      </c>
      <c r="M193" s="10" t="s">
        <v>3550</v>
      </c>
      <c r="N193" s="9" t="s">
        <v>3124</v>
      </c>
      <c r="R193" s="10" t="s">
        <v>3040</v>
      </c>
      <c r="S193" s="9" t="s">
        <v>3040</v>
      </c>
      <c r="U193" s="5" t="s">
        <v>3040</v>
      </c>
    </row>
    <row r="194" spans="1:21" x14ac:dyDescent="0.2">
      <c r="A194" s="3">
        <v>193</v>
      </c>
      <c r="B194" s="5" t="s">
        <v>1269</v>
      </c>
      <c r="C194" s="5" t="s">
        <v>1173</v>
      </c>
      <c r="D194" s="5" t="s">
        <v>1171</v>
      </c>
      <c r="G194" s="6" t="s">
        <v>1713</v>
      </c>
      <c r="H194" s="6" t="s">
        <v>722</v>
      </c>
      <c r="M194" s="10" t="s">
        <v>3824</v>
      </c>
      <c r="R194" s="10" t="s">
        <v>1713</v>
      </c>
      <c r="U194" s="5" t="s">
        <v>1713</v>
      </c>
    </row>
    <row r="195" spans="1:21" x14ac:dyDescent="0.2">
      <c r="A195" s="3">
        <v>194</v>
      </c>
      <c r="B195" s="5" t="s">
        <v>315</v>
      </c>
      <c r="C195" s="5" t="s">
        <v>1172</v>
      </c>
      <c r="D195" s="5" t="s">
        <v>1181</v>
      </c>
      <c r="F195" s="4" t="s">
        <v>629</v>
      </c>
      <c r="G195" s="6" t="s">
        <v>646</v>
      </c>
      <c r="H195" s="6" t="s">
        <v>723</v>
      </c>
      <c r="L195" s="21" t="s">
        <v>2582</v>
      </c>
      <c r="M195" s="10" t="s">
        <v>3734</v>
      </c>
      <c r="R195" s="10" t="s">
        <v>1713</v>
      </c>
      <c r="U195" s="5" t="s">
        <v>1713</v>
      </c>
    </row>
    <row r="196" spans="1:21" x14ac:dyDescent="0.2">
      <c r="A196" s="3">
        <v>195</v>
      </c>
      <c r="B196" s="5" t="s">
        <v>316</v>
      </c>
      <c r="C196" s="5" t="s">
        <v>1172</v>
      </c>
      <c r="D196" s="5" t="s">
        <v>1181</v>
      </c>
      <c r="F196" s="4" t="s">
        <v>630</v>
      </c>
      <c r="G196" s="6" t="s">
        <v>647</v>
      </c>
      <c r="H196" s="6" t="s">
        <v>724</v>
      </c>
      <c r="L196" s="21" t="s">
        <v>2583</v>
      </c>
      <c r="M196" s="10" t="s">
        <v>3734</v>
      </c>
      <c r="Q196" s="21" t="s">
        <v>999</v>
      </c>
      <c r="R196" s="10" t="s">
        <v>999</v>
      </c>
      <c r="U196" s="5" t="s">
        <v>999</v>
      </c>
    </row>
    <row r="197" spans="1:21" x14ac:dyDescent="0.2">
      <c r="A197" s="3">
        <v>196</v>
      </c>
      <c r="B197" s="5" t="s">
        <v>103</v>
      </c>
      <c r="C197" s="5" t="s">
        <v>1206</v>
      </c>
      <c r="F197" s="4" t="s">
        <v>729</v>
      </c>
      <c r="G197" s="6" t="s">
        <v>1713</v>
      </c>
      <c r="H197" s="6" t="s">
        <v>725</v>
      </c>
      <c r="I197" s="11" t="s">
        <v>712</v>
      </c>
      <c r="J197" s="19" t="s">
        <v>633</v>
      </c>
      <c r="L197" s="21" t="s">
        <v>2637</v>
      </c>
      <c r="M197" s="10" t="s">
        <v>3550</v>
      </c>
      <c r="N197" s="9" t="s">
        <v>3243</v>
      </c>
      <c r="O197" s="12" t="s">
        <v>1804</v>
      </c>
      <c r="Q197" s="21" t="s">
        <v>1129</v>
      </c>
      <c r="R197" s="10" t="s">
        <v>1129</v>
      </c>
      <c r="S197" s="9" t="s">
        <v>1129</v>
      </c>
      <c r="T197" s="12" t="s">
        <v>1129</v>
      </c>
      <c r="U197" s="5" t="s">
        <v>1129</v>
      </c>
    </row>
    <row r="198" spans="1:21" x14ac:dyDescent="0.2">
      <c r="A198" s="3">
        <v>197</v>
      </c>
      <c r="B198" s="5" t="s">
        <v>104</v>
      </c>
      <c r="C198" s="5" t="s">
        <v>1270</v>
      </c>
      <c r="F198" s="4" t="s">
        <v>730</v>
      </c>
      <c r="G198" s="6" t="s">
        <v>1713</v>
      </c>
      <c r="H198" s="6" t="s">
        <v>726</v>
      </c>
      <c r="I198" s="11" t="s">
        <v>713</v>
      </c>
      <c r="J198" s="19" t="s">
        <v>634</v>
      </c>
      <c r="L198" s="21" t="s">
        <v>2638</v>
      </c>
      <c r="M198" s="10" t="s">
        <v>3550</v>
      </c>
      <c r="N198" s="9" t="s">
        <v>3244</v>
      </c>
      <c r="O198" s="12" t="s">
        <v>1804</v>
      </c>
      <c r="Q198" s="21" t="s">
        <v>2500</v>
      </c>
      <c r="R198" s="10" t="s">
        <v>2500</v>
      </c>
      <c r="S198" s="9" t="s">
        <v>2500</v>
      </c>
      <c r="T198" s="12" t="s">
        <v>2500</v>
      </c>
      <c r="U198" s="5" t="s">
        <v>2500</v>
      </c>
    </row>
    <row r="199" spans="1:21" x14ac:dyDescent="0.2">
      <c r="A199" s="3">
        <v>198</v>
      </c>
      <c r="B199" s="5" t="s">
        <v>1271</v>
      </c>
      <c r="C199" s="5" t="s">
        <v>1270</v>
      </c>
      <c r="D199" s="5" t="s">
        <v>1171</v>
      </c>
      <c r="G199" s="6" t="s">
        <v>603</v>
      </c>
      <c r="H199" s="6" t="s">
        <v>727</v>
      </c>
      <c r="I199" s="11" t="s">
        <v>761</v>
      </c>
      <c r="M199" s="10" t="s">
        <v>3796</v>
      </c>
      <c r="N199" s="9" t="s">
        <v>3282</v>
      </c>
      <c r="R199" s="10" t="s">
        <v>1713</v>
      </c>
      <c r="U199" s="5" t="s">
        <v>1713</v>
      </c>
    </row>
    <row r="200" spans="1:21" x14ac:dyDescent="0.2">
      <c r="A200" s="3">
        <v>199</v>
      </c>
      <c r="B200" s="5" t="s">
        <v>138</v>
      </c>
      <c r="C200" s="5" t="s">
        <v>1172</v>
      </c>
      <c r="D200" s="5" t="s">
        <v>1206</v>
      </c>
      <c r="G200" s="6" t="s">
        <v>1713</v>
      </c>
      <c r="H200" s="6" t="s">
        <v>728</v>
      </c>
      <c r="I200" s="11" t="s">
        <v>855</v>
      </c>
      <c r="J200" s="19" t="s">
        <v>668</v>
      </c>
      <c r="M200" s="10" t="s">
        <v>3550</v>
      </c>
      <c r="N200" s="9" t="s">
        <v>3550</v>
      </c>
      <c r="O200" s="12" t="s">
        <v>1804</v>
      </c>
      <c r="R200" s="10" t="s">
        <v>1741</v>
      </c>
      <c r="S200" s="9" t="s">
        <v>1741</v>
      </c>
      <c r="T200" s="12" t="s">
        <v>1741</v>
      </c>
      <c r="U200" s="5" t="s">
        <v>1741</v>
      </c>
    </row>
    <row r="201" spans="1:21" x14ac:dyDescent="0.2">
      <c r="A201" s="3">
        <v>200</v>
      </c>
      <c r="B201" s="5" t="s">
        <v>1272</v>
      </c>
      <c r="C201" s="5" t="s">
        <v>1223</v>
      </c>
      <c r="G201" s="6" t="s">
        <v>601</v>
      </c>
      <c r="H201" s="6" t="s">
        <v>729</v>
      </c>
      <c r="I201" s="11" t="s">
        <v>643</v>
      </c>
      <c r="M201" s="10" t="s">
        <v>3784</v>
      </c>
      <c r="N201" s="9" t="s">
        <v>3191</v>
      </c>
      <c r="R201" s="10" t="s">
        <v>1713</v>
      </c>
      <c r="U201" s="5" t="s">
        <v>1713</v>
      </c>
    </row>
    <row r="202" spans="1:21" x14ac:dyDescent="0.2">
      <c r="A202" s="3">
        <v>201</v>
      </c>
      <c r="B202" s="5" t="s">
        <v>1273</v>
      </c>
      <c r="C202" s="5" t="s">
        <v>1206</v>
      </c>
      <c r="G202" s="6" t="s">
        <v>643</v>
      </c>
      <c r="H202" s="6" t="s">
        <v>730</v>
      </c>
      <c r="M202" s="10" t="s">
        <v>3735</v>
      </c>
      <c r="R202" s="10" t="s">
        <v>1713</v>
      </c>
      <c r="U202" s="5" t="s">
        <v>1713</v>
      </c>
    </row>
    <row r="203" spans="1:21" x14ac:dyDescent="0.2">
      <c r="A203" s="3">
        <v>202</v>
      </c>
      <c r="B203" s="5" t="s">
        <v>393</v>
      </c>
      <c r="C203" s="5" t="s">
        <v>1206</v>
      </c>
      <c r="F203" s="4" t="s">
        <v>746</v>
      </c>
      <c r="G203" s="6" t="s">
        <v>1713</v>
      </c>
      <c r="H203" s="6" t="s">
        <v>731</v>
      </c>
      <c r="L203" s="21" t="s">
        <v>2649</v>
      </c>
      <c r="M203" s="10" t="s">
        <v>3719</v>
      </c>
      <c r="Q203" s="21" t="s">
        <v>1048</v>
      </c>
      <c r="R203" s="10" t="s">
        <v>1048</v>
      </c>
      <c r="U203" s="5" t="s">
        <v>1048</v>
      </c>
    </row>
    <row r="204" spans="1:21" x14ac:dyDescent="0.2">
      <c r="A204" s="3">
        <v>203</v>
      </c>
      <c r="B204" s="5" t="s">
        <v>1274</v>
      </c>
      <c r="C204" s="5" t="s">
        <v>1174</v>
      </c>
      <c r="D204" s="5" t="s">
        <v>1206</v>
      </c>
      <c r="G204" s="6" t="s">
        <v>650</v>
      </c>
      <c r="H204" s="6" t="s">
        <v>732</v>
      </c>
      <c r="I204" s="11" t="s">
        <v>721</v>
      </c>
      <c r="M204" s="10" t="s">
        <v>3736</v>
      </c>
      <c r="N204" s="9" t="s">
        <v>3250</v>
      </c>
      <c r="R204" s="10" t="s">
        <v>1713</v>
      </c>
      <c r="U204" s="5" t="s">
        <v>1713</v>
      </c>
    </row>
    <row r="205" spans="1:21" x14ac:dyDescent="0.2">
      <c r="A205" s="3">
        <v>204</v>
      </c>
      <c r="B205" s="5" t="s">
        <v>1275</v>
      </c>
      <c r="C205" s="5" t="s">
        <v>1173</v>
      </c>
      <c r="G205" s="6" t="s">
        <v>1713</v>
      </c>
      <c r="H205" s="6" t="s">
        <v>733</v>
      </c>
      <c r="I205" s="11" t="s">
        <v>787</v>
      </c>
      <c r="M205" s="10" t="s">
        <v>3706</v>
      </c>
      <c r="N205" s="9" t="s">
        <v>3123</v>
      </c>
      <c r="R205" s="10" t="s">
        <v>1713</v>
      </c>
      <c r="U205" s="5" t="s">
        <v>1713</v>
      </c>
    </row>
    <row r="206" spans="1:21" x14ac:dyDescent="0.2">
      <c r="A206" s="3">
        <v>205</v>
      </c>
      <c r="B206" s="5" t="s">
        <v>1276</v>
      </c>
      <c r="C206" s="5" t="s">
        <v>1173</v>
      </c>
      <c r="D206" s="5" t="s">
        <v>1214</v>
      </c>
      <c r="G206" s="6" t="s">
        <v>1713</v>
      </c>
      <c r="H206" s="6" t="s">
        <v>734</v>
      </c>
      <c r="I206" s="11" t="s">
        <v>788</v>
      </c>
      <c r="M206" s="10" t="s">
        <v>3550</v>
      </c>
      <c r="N206" s="9" t="s">
        <v>3297</v>
      </c>
      <c r="R206" s="10" t="s">
        <v>3083</v>
      </c>
      <c r="S206" s="9" t="s">
        <v>3083</v>
      </c>
      <c r="U206" s="5" t="s">
        <v>3083</v>
      </c>
    </row>
    <row r="207" spans="1:21" x14ac:dyDescent="0.2">
      <c r="A207" s="3">
        <v>206</v>
      </c>
      <c r="B207" s="5" t="s">
        <v>1277</v>
      </c>
      <c r="C207" s="5" t="s">
        <v>1174</v>
      </c>
      <c r="G207" s="6" t="s">
        <v>1713</v>
      </c>
      <c r="H207" s="6" t="s">
        <v>735</v>
      </c>
      <c r="I207" s="11" t="s">
        <v>717</v>
      </c>
      <c r="M207" s="10" t="s">
        <v>3737</v>
      </c>
      <c r="N207" s="9" t="s">
        <v>3156</v>
      </c>
      <c r="R207" s="10" t="s">
        <v>1713</v>
      </c>
      <c r="U207" s="5" t="s">
        <v>1713</v>
      </c>
    </row>
    <row r="208" spans="1:21" x14ac:dyDescent="0.2">
      <c r="A208" s="3">
        <v>207</v>
      </c>
      <c r="B208" s="5" t="s">
        <v>1278</v>
      </c>
      <c r="C208" s="5" t="s">
        <v>1181</v>
      </c>
      <c r="D208" s="5" t="s">
        <v>1171</v>
      </c>
      <c r="G208" s="6" t="s">
        <v>1713</v>
      </c>
      <c r="H208" s="6" t="s">
        <v>736</v>
      </c>
      <c r="M208" s="10" t="s">
        <v>3799</v>
      </c>
      <c r="R208" s="10" t="s">
        <v>1713</v>
      </c>
      <c r="U208" s="5" t="s">
        <v>1713</v>
      </c>
    </row>
    <row r="209" spans="1:21" x14ac:dyDescent="0.2">
      <c r="A209" s="3">
        <v>208</v>
      </c>
      <c r="B209" s="5" t="s">
        <v>197</v>
      </c>
      <c r="C209" s="5" t="s">
        <v>1214</v>
      </c>
      <c r="D209" s="5" t="s">
        <v>1181</v>
      </c>
      <c r="F209" s="4" t="s">
        <v>708</v>
      </c>
      <c r="G209" s="6" t="s">
        <v>564</v>
      </c>
      <c r="H209" s="6" t="s">
        <v>737</v>
      </c>
      <c r="J209" s="19" t="s">
        <v>727</v>
      </c>
      <c r="L209" s="21" t="s">
        <v>2619</v>
      </c>
      <c r="M209" s="10" t="s">
        <v>3832</v>
      </c>
      <c r="O209" s="12" t="s">
        <v>1804</v>
      </c>
      <c r="Q209" s="21" t="s">
        <v>1124</v>
      </c>
      <c r="R209" s="10" t="s">
        <v>1124</v>
      </c>
      <c r="T209" s="12" t="s">
        <v>1124</v>
      </c>
      <c r="U209" s="5" t="s">
        <v>1124</v>
      </c>
    </row>
    <row r="210" spans="1:21" x14ac:dyDescent="0.2">
      <c r="A210" s="3">
        <v>209</v>
      </c>
      <c r="B210" s="5" t="s">
        <v>1279</v>
      </c>
      <c r="C210" s="5" t="s">
        <v>1189</v>
      </c>
      <c r="G210" s="6" t="s">
        <v>1713</v>
      </c>
      <c r="H210" s="6" t="s">
        <v>738</v>
      </c>
      <c r="M210" s="10" t="s">
        <v>3719</v>
      </c>
      <c r="R210" s="10" t="s">
        <v>1713</v>
      </c>
      <c r="U210" s="5" t="s">
        <v>1713</v>
      </c>
    </row>
    <row r="211" spans="1:21" x14ac:dyDescent="0.2">
      <c r="A211" s="3">
        <v>210</v>
      </c>
      <c r="B211" s="5" t="s">
        <v>1280</v>
      </c>
      <c r="C211" s="5" t="s">
        <v>1189</v>
      </c>
      <c r="G211" s="6" t="s">
        <v>1713</v>
      </c>
      <c r="H211" s="6" t="s">
        <v>739</v>
      </c>
      <c r="M211" s="10" t="s">
        <v>3550</v>
      </c>
      <c r="R211" s="10" t="s">
        <v>3581</v>
      </c>
      <c r="U211" s="5" t="s">
        <v>3581</v>
      </c>
    </row>
    <row r="212" spans="1:21" x14ac:dyDescent="0.2">
      <c r="A212" s="3">
        <v>211</v>
      </c>
      <c r="B212" s="5" t="s">
        <v>462</v>
      </c>
      <c r="C212" s="5" t="s">
        <v>1172</v>
      </c>
      <c r="D212" s="5" t="s">
        <v>1169</v>
      </c>
      <c r="F212" s="4" t="s">
        <v>833</v>
      </c>
      <c r="G212" s="6" t="s">
        <v>1713</v>
      </c>
      <c r="H212" s="6" t="s">
        <v>740</v>
      </c>
      <c r="I212" s="11" t="s">
        <v>860</v>
      </c>
      <c r="L212" s="21" t="s">
        <v>2615</v>
      </c>
      <c r="M212" s="10" t="s">
        <v>3708</v>
      </c>
      <c r="N212" s="9" t="s">
        <v>3341</v>
      </c>
      <c r="R212" s="10" t="s">
        <v>1713</v>
      </c>
      <c r="U212" s="5" t="s">
        <v>1713</v>
      </c>
    </row>
    <row r="213" spans="1:21" x14ac:dyDescent="0.2">
      <c r="A213" s="3">
        <v>212</v>
      </c>
      <c r="B213" s="5" t="s">
        <v>176</v>
      </c>
      <c r="C213" s="5" t="s">
        <v>1173</v>
      </c>
      <c r="D213" s="5" t="s">
        <v>1214</v>
      </c>
      <c r="G213" s="6" t="s">
        <v>1713</v>
      </c>
      <c r="H213" s="6" t="s">
        <v>741</v>
      </c>
      <c r="I213" s="11" t="s">
        <v>790</v>
      </c>
      <c r="J213" s="19" t="s">
        <v>706</v>
      </c>
      <c r="M213" s="10" t="s">
        <v>3550</v>
      </c>
      <c r="N213" s="9" t="s">
        <v>3550</v>
      </c>
      <c r="O213" s="12" t="s">
        <v>1804</v>
      </c>
      <c r="R213" s="10" t="s">
        <v>1744</v>
      </c>
      <c r="S213" s="9" t="s">
        <v>1744</v>
      </c>
      <c r="T213" s="12" t="s">
        <v>1744</v>
      </c>
      <c r="U213" s="5" t="s">
        <v>1744</v>
      </c>
    </row>
    <row r="214" spans="1:21" x14ac:dyDescent="0.2">
      <c r="A214" s="3">
        <v>213</v>
      </c>
      <c r="B214" s="5" t="s">
        <v>399</v>
      </c>
      <c r="C214" s="5" t="s">
        <v>1173</v>
      </c>
      <c r="D214" s="5" t="s">
        <v>1210</v>
      </c>
      <c r="F214" s="4" t="s">
        <v>756</v>
      </c>
      <c r="G214" s="6" t="s">
        <v>1713</v>
      </c>
      <c r="H214" s="6" t="s">
        <v>742</v>
      </c>
      <c r="L214" s="21" t="s">
        <v>2653</v>
      </c>
      <c r="M214" s="10" t="s">
        <v>3706</v>
      </c>
      <c r="R214" s="10" t="s">
        <v>1713</v>
      </c>
      <c r="U214" s="5" t="s">
        <v>1713</v>
      </c>
    </row>
    <row r="215" spans="1:21" x14ac:dyDescent="0.2">
      <c r="A215" s="3">
        <v>214</v>
      </c>
      <c r="B215" s="5" t="s">
        <v>178</v>
      </c>
      <c r="C215" s="5" t="s">
        <v>1173</v>
      </c>
      <c r="D215" s="5" t="s">
        <v>1201</v>
      </c>
      <c r="G215" s="6" t="s">
        <v>591</v>
      </c>
      <c r="H215" s="6" t="s">
        <v>743</v>
      </c>
      <c r="I215" s="11" t="s">
        <v>791</v>
      </c>
      <c r="J215" s="19" t="s">
        <v>708</v>
      </c>
      <c r="M215" s="10" t="s">
        <v>3833</v>
      </c>
      <c r="N215" s="9" t="s">
        <v>3169</v>
      </c>
      <c r="O215" s="12" t="s">
        <v>1693</v>
      </c>
      <c r="R215" s="10" t="s">
        <v>1713</v>
      </c>
      <c r="T215" s="12" t="s">
        <v>1713</v>
      </c>
      <c r="U215" s="5" t="s">
        <v>1713</v>
      </c>
    </row>
    <row r="216" spans="1:21" x14ac:dyDescent="0.2">
      <c r="A216" s="3">
        <v>215</v>
      </c>
      <c r="B216" s="5" t="s">
        <v>454</v>
      </c>
      <c r="C216" s="5" t="s">
        <v>1270</v>
      </c>
      <c r="D216" s="5" t="s">
        <v>1220</v>
      </c>
      <c r="F216" s="4" t="s">
        <v>821</v>
      </c>
      <c r="G216" s="6" t="s">
        <v>673</v>
      </c>
      <c r="H216" s="6" t="s">
        <v>744</v>
      </c>
      <c r="I216" s="11" t="s">
        <v>759</v>
      </c>
      <c r="L216" s="21" t="s">
        <v>2682</v>
      </c>
      <c r="M216" s="10" t="s">
        <v>3738</v>
      </c>
      <c r="N216" s="9" t="s">
        <v>3280</v>
      </c>
      <c r="R216" s="10" t="s">
        <v>1713</v>
      </c>
      <c r="U216" s="5" t="s">
        <v>1713</v>
      </c>
    </row>
    <row r="217" spans="1:21" x14ac:dyDescent="0.2">
      <c r="A217" s="3">
        <v>216</v>
      </c>
      <c r="B217" s="5" t="s">
        <v>1281</v>
      </c>
      <c r="C217" s="5" t="s">
        <v>1174</v>
      </c>
      <c r="G217" s="6" t="s">
        <v>1713</v>
      </c>
      <c r="H217" s="6" t="s">
        <v>745</v>
      </c>
      <c r="I217" s="11" t="s">
        <v>744</v>
      </c>
      <c r="M217" s="10" t="s">
        <v>3785</v>
      </c>
      <c r="N217" s="9" t="s">
        <v>3167</v>
      </c>
      <c r="R217" s="10" t="s">
        <v>1713</v>
      </c>
      <c r="U217" s="5" t="s">
        <v>1713</v>
      </c>
    </row>
    <row r="218" spans="1:21" x14ac:dyDescent="0.2">
      <c r="A218" s="3">
        <v>217</v>
      </c>
      <c r="B218" s="5" t="s">
        <v>1282</v>
      </c>
      <c r="C218" s="5" t="s">
        <v>1174</v>
      </c>
      <c r="G218" s="6" t="s">
        <v>1713</v>
      </c>
      <c r="H218" s="6" t="s">
        <v>746</v>
      </c>
      <c r="I218" s="11" t="s">
        <v>745</v>
      </c>
      <c r="M218" s="10" t="s">
        <v>3550</v>
      </c>
      <c r="N218" s="9" t="s">
        <v>3269</v>
      </c>
      <c r="R218" s="10" t="s">
        <v>3023</v>
      </c>
      <c r="S218" s="9" t="s">
        <v>3023</v>
      </c>
      <c r="U218" s="5" t="s">
        <v>3023</v>
      </c>
    </row>
    <row r="219" spans="1:21" x14ac:dyDescent="0.2">
      <c r="A219" s="3">
        <v>218</v>
      </c>
      <c r="B219" s="5" t="s">
        <v>1283</v>
      </c>
      <c r="C219" s="5" t="s">
        <v>1170</v>
      </c>
      <c r="G219" s="6" t="s">
        <v>1713</v>
      </c>
      <c r="H219" s="6" t="s">
        <v>747</v>
      </c>
      <c r="M219" s="10" t="s">
        <v>3707</v>
      </c>
      <c r="R219" s="10" t="s">
        <v>1713</v>
      </c>
      <c r="U219" s="5" t="s">
        <v>1713</v>
      </c>
    </row>
    <row r="220" spans="1:21" x14ac:dyDescent="0.2">
      <c r="A220" s="3">
        <v>219</v>
      </c>
      <c r="B220" s="5" t="s">
        <v>1284</v>
      </c>
      <c r="C220" s="5" t="s">
        <v>1170</v>
      </c>
      <c r="D220" s="5" t="s">
        <v>1210</v>
      </c>
      <c r="G220" s="6" t="s">
        <v>1713</v>
      </c>
      <c r="H220" s="6" t="s">
        <v>748</v>
      </c>
      <c r="M220" s="10" t="s">
        <v>3707</v>
      </c>
      <c r="R220" s="10" t="s">
        <v>3582</v>
      </c>
      <c r="U220" s="5" t="s">
        <v>3582</v>
      </c>
    </row>
    <row r="221" spans="1:21" x14ac:dyDescent="0.2">
      <c r="A221" s="3">
        <v>220</v>
      </c>
      <c r="B221" s="5" t="s">
        <v>296</v>
      </c>
      <c r="C221" s="5" t="s">
        <v>1220</v>
      </c>
      <c r="D221" s="5" t="s">
        <v>1181</v>
      </c>
      <c r="F221" s="4" t="s">
        <v>604</v>
      </c>
      <c r="G221" s="6" t="s">
        <v>1713</v>
      </c>
      <c r="H221" s="6" t="s">
        <v>749</v>
      </c>
      <c r="L221" s="21" t="s">
        <v>2562</v>
      </c>
      <c r="M221" s="10" t="s">
        <v>3712</v>
      </c>
      <c r="R221" s="10" t="s">
        <v>1713</v>
      </c>
      <c r="U221" s="5" t="s">
        <v>1713</v>
      </c>
    </row>
    <row r="222" spans="1:21" x14ac:dyDescent="0.2">
      <c r="A222" s="3">
        <v>221</v>
      </c>
      <c r="B222" s="5" t="s">
        <v>297</v>
      </c>
      <c r="C222" s="5" t="s">
        <v>1220</v>
      </c>
      <c r="D222" s="5" t="s">
        <v>1181</v>
      </c>
      <c r="F222" s="4" t="s">
        <v>605</v>
      </c>
      <c r="G222" s="6" t="s">
        <v>1713</v>
      </c>
      <c r="H222" s="6" t="s">
        <v>750</v>
      </c>
      <c r="L222" s="21" t="s">
        <v>3550</v>
      </c>
      <c r="M222" s="10" t="s">
        <v>3550</v>
      </c>
      <c r="Q222" s="21" t="s">
        <v>988</v>
      </c>
      <c r="R222" s="10" t="s">
        <v>988</v>
      </c>
      <c r="U222" s="5" t="s">
        <v>988</v>
      </c>
    </row>
    <row r="223" spans="1:21" x14ac:dyDescent="0.2">
      <c r="A223" s="3">
        <v>222</v>
      </c>
      <c r="B223" s="5" t="s">
        <v>1162</v>
      </c>
      <c r="C223" s="5" t="s">
        <v>1172</v>
      </c>
      <c r="D223" s="5" t="s">
        <v>1210</v>
      </c>
      <c r="G223" s="6" t="s">
        <v>1713</v>
      </c>
      <c r="H223" s="6" t="s">
        <v>751</v>
      </c>
      <c r="M223" s="10" t="s">
        <v>3708</v>
      </c>
      <c r="R223" s="10" t="s">
        <v>1713</v>
      </c>
      <c r="U223" s="5" t="s">
        <v>1713</v>
      </c>
    </row>
    <row r="224" spans="1:21" x14ac:dyDescent="0.2">
      <c r="A224" s="3">
        <v>223</v>
      </c>
      <c r="B224" s="5" t="s">
        <v>351</v>
      </c>
      <c r="C224" s="5" t="s">
        <v>1172</v>
      </c>
      <c r="F224" s="4" t="s">
        <v>677</v>
      </c>
      <c r="G224" s="6" t="s">
        <v>661</v>
      </c>
      <c r="H224" s="6" t="s">
        <v>752</v>
      </c>
      <c r="L224" s="21" t="s">
        <v>1122</v>
      </c>
      <c r="M224" s="10" t="s">
        <v>3739</v>
      </c>
      <c r="R224" s="10" t="s">
        <v>1713</v>
      </c>
      <c r="U224" s="5" t="s">
        <v>1713</v>
      </c>
    </row>
    <row r="225" spans="1:21" x14ac:dyDescent="0.2">
      <c r="A225" s="3">
        <v>224</v>
      </c>
      <c r="B225" s="5" t="s">
        <v>352</v>
      </c>
      <c r="C225" s="5" t="s">
        <v>1172</v>
      </c>
      <c r="F225" s="4" t="s">
        <v>678</v>
      </c>
      <c r="G225" s="6" t="s">
        <v>662</v>
      </c>
      <c r="H225" s="6" t="s">
        <v>753</v>
      </c>
      <c r="L225" s="21" t="s">
        <v>1118</v>
      </c>
      <c r="M225" s="10" t="s">
        <v>3740</v>
      </c>
      <c r="Q225" s="21" t="s">
        <v>1021</v>
      </c>
      <c r="R225" s="10" t="s">
        <v>1021</v>
      </c>
      <c r="U225" s="5" t="s">
        <v>1021</v>
      </c>
    </row>
    <row r="226" spans="1:21" x14ac:dyDescent="0.2">
      <c r="A226" s="3">
        <v>225</v>
      </c>
      <c r="B226" s="5" t="s">
        <v>167</v>
      </c>
      <c r="C226" s="5" t="s">
        <v>1220</v>
      </c>
      <c r="D226" s="5" t="s">
        <v>1171</v>
      </c>
      <c r="F226" s="4" t="s">
        <v>607</v>
      </c>
      <c r="G226" s="6" t="s">
        <v>1713</v>
      </c>
      <c r="H226" s="6" t="s">
        <v>754</v>
      </c>
      <c r="I226" s="11" t="s">
        <v>883</v>
      </c>
      <c r="J226" s="19" t="s">
        <v>697</v>
      </c>
      <c r="L226" s="21" t="s">
        <v>2564</v>
      </c>
      <c r="M226" s="10" t="s">
        <v>3741</v>
      </c>
      <c r="N226" s="9" t="s">
        <v>3357</v>
      </c>
      <c r="O226" s="12" t="s">
        <v>1692</v>
      </c>
      <c r="R226" s="10" t="s">
        <v>1713</v>
      </c>
      <c r="T226" s="12" t="s">
        <v>1713</v>
      </c>
      <c r="U226" s="5" t="s">
        <v>1713</v>
      </c>
    </row>
    <row r="227" spans="1:21" x14ac:dyDescent="0.2">
      <c r="A227" s="3">
        <v>226</v>
      </c>
      <c r="B227" s="5" t="s">
        <v>499</v>
      </c>
      <c r="C227" s="5" t="s">
        <v>1172</v>
      </c>
      <c r="D227" s="5" t="s">
        <v>1171</v>
      </c>
      <c r="F227" s="4" t="s">
        <v>884</v>
      </c>
      <c r="G227" s="6" t="s">
        <v>670</v>
      </c>
      <c r="H227" s="6" t="s">
        <v>755</v>
      </c>
      <c r="L227" s="21" t="s">
        <v>2702</v>
      </c>
      <c r="M227" s="10" t="s">
        <v>3550</v>
      </c>
      <c r="Q227" s="21" t="s">
        <v>2504</v>
      </c>
      <c r="R227" s="10" t="s">
        <v>2504</v>
      </c>
      <c r="U227" s="5" t="s">
        <v>2504</v>
      </c>
    </row>
    <row r="228" spans="1:21" x14ac:dyDescent="0.2">
      <c r="A228" s="3">
        <v>227</v>
      </c>
      <c r="B228" s="5" t="s">
        <v>215</v>
      </c>
      <c r="C228" s="5" t="s">
        <v>1214</v>
      </c>
      <c r="D228" s="5" t="s">
        <v>1171</v>
      </c>
      <c r="G228" s="6" t="s">
        <v>1713</v>
      </c>
      <c r="H228" s="6" t="s">
        <v>756</v>
      </c>
      <c r="J228" s="19" t="s">
        <v>745</v>
      </c>
      <c r="M228" s="10" t="s">
        <v>3834</v>
      </c>
      <c r="O228" s="12" t="s">
        <v>2403</v>
      </c>
      <c r="R228" s="10" t="s">
        <v>1713</v>
      </c>
      <c r="T228" s="12" t="s">
        <v>1713</v>
      </c>
      <c r="U228" s="5" t="s">
        <v>1713</v>
      </c>
    </row>
    <row r="229" spans="1:21" x14ac:dyDescent="0.2">
      <c r="A229" s="3">
        <v>228</v>
      </c>
      <c r="B229" s="5" t="s">
        <v>90</v>
      </c>
      <c r="C229" s="5" t="s">
        <v>1270</v>
      </c>
      <c r="D229" s="5" t="s">
        <v>1170</v>
      </c>
      <c r="G229" s="6" t="s">
        <v>1713</v>
      </c>
      <c r="H229" s="6" t="s">
        <v>757</v>
      </c>
      <c r="I229" s="11" t="s">
        <v>554</v>
      </c>
      <c r="J229" s="19" t="s">
        <v>620</v>
      </c>
      <c r="M229" s="10" t="s">
        <v>3550</v>
      </c>
      <c r="N229" s="9" t="s">
        <v>3118</v>
      </c>
      <c r="O229" s="12" t="s">
        <v>1685</v>
      </c>
      <c r="R229" s="10" t="s">
        <v>3554</v>
      </c>
      <c r="T229" s="12" t="s">
        <v>1713</v>
      </c>
      <c r="U229" s="5" t="s">
        <v>3554</v>
      </c>
    </row>
    <row r="230" spans="1:21" x14ac:dyDescent="0.2">
      <c r="A230" s="3">
        <v>229</v>
      </c>
      <c r="B230" s="5" t="s">
        <v>91</v>
      </c>
      <c r="C230" s="5" t="s">
        <v>1270</v>
      </c>
      <c r="D230" s="5" t="s">
        <v>1170</v>
      </c>
      <c r="G230" s="6" t="s">
        <v>1713</v>
      </c>
      <c r="H230" s="6" t="s">
        <v>758</v>
      </c>
      <c r="I230" s="11" t="s">
        <v>555</v>
      </c>
      <c r="J230" s="19" t="s">
        <v>621</v>
      </c>
      <c r="M230" s="10" t="s">
        <v>3707</v>
      </c>
      <c r="N230" s="9" t="s">
        <v>3119</v>
      </c>
      <c r="O230" s="12" t="s">
        <v>1699</v>
      </c>
      <c r="R230" s="10" t="s">
        <v>1755</v>
      </c>
      <c r="S230" s="9" t="s">
        <v>1755</v>
      </c>
      <c r="T230" s="12" t="s">
        <v>1755</v>
      </c>
      <c r="U230" s="5" t="s">
        <v>1755</v>
      </c>
    </row>
    <row r="231" spans="1:21" x14ac:dyDescent="0.2">
      <c r="A231" s="3">
        <v>230</v>
      </c>
      <c r="B231" s="5" t="s">
        <v>1285</v>
      </c>
      <c r="C231" s="5" t="s">
        <v>1172</v>
      </c>
      <c r="D231" s="5" t="s">
        <v>1249</v>
      </c>
      <c r="G231" s="6" t="s">
        <v>1713</v>
      </c>
      <c r="H231" s="6" t="s">
        <v>759</v>
      </c>
      <c r="M231" s="10" t="s">
        <v>3550</v>
      </c>
      <c r="R231" s="10" t="s">
        <v>1713</v>
      </c>
      <c r="U231" s="5" t="s">
        <v>1713</v>
      </c>
    </row>
    <row r="232" spans="1:21" x14ac:dyDescent="0.2">
      <c r="A232" s="3">
        <v>231</v>
      </c>
      <c r="B232" s="5" t="s">
        <v>1286</v>
      </c>
      <c r="C232" s="5" t="s">
        <v>1181</v>
      </c>
      <c r="G232" s="6" t="s">
        <v>1713</v>
      </c>
      <c r="H232" s="6" t="s">
        <v>760</v>
      </c>
      <c r="I232" s="11" t="s">
        <v>651</v>
      </c>
      <c r="M232" s="10" t="s">
        <v>3721</v>
      </c>
      <c r="N232" s="9" t="s">
        <v>3198</v>
      </c>
      <c r="R232" s="10" t="s">
        <v>1713</v>
      </c>
      <c r="U232" s="5" t="s">
        <v>1713</v>
      </c>
    </row>
    <row r="233" spans="1:21" x14ac:dyDescent="0.2">
      <c r="A233" s="3">
        <v>232</v>
      </c>
      <c r="B233" s="5" t="s">
        <v>1287</v>
      </c>
      <c r="C233" s="5" t="s">
        <v>1181</v>
      </c>
      <c r="G233" s="6" t="s">
        <v>1713</v>
      </c>
      <c r="H233" s="6" t="s">
        <v>761</v>
      </c>
      <c r="I233" s="11" t="s">
        <v>652</v>
      </c>
      <c r="M233" s="10" t="s">
        <v>3550</v>
      </c>
      <c r="N233" s="9" t="s">
        <v>3199</v>
      </c>
      <c r="R233" s="10" t="s">
        <v>3067</v>
      </c>
      <c r="S233" s="9" t="s">
        <v>3067</v>
      </c>
      <c r="U233" s="5" t="s">
        <v>3067</v>
      </c>
    </row>
    <row r="234" spans="1:21" x14ac:dyDescent="0.2">
      <c r="A234" s="3">
        <v>233</v>
      </c>
      <c r="B234" s="5" t="s">
        <v>1288</v>
      </c>
      <c r="C234" s="5" t="s">
        <v>1174</v>
      </c>
      <c r="G234" s="6" t="s">
        <v>1713</v>
      </c>
      <c r="H234" s="6" t="s">
        <v>762</v>
      </c>
      <c r="M234" s="10" t="s">
        <v>3550</v>
      </c>
      <c r="R234" s="10" t="s">
        <v>3555</v>
      </c>
      <c r="U234" s="5" t="s">
        <v>3555</v>
      </c>
    </row>
    <row r="235" spans="1:21" x14ac:dyDescent="0.2">
      <c r="A235" s="3">
        <v>234</v>
      </c>
      <c r="B235" s="5" t="s">
        <v>1289</v>
      </c>
      <c r="C235" s="5" t="s">
        <v>1174</v>
      </c>
      <c r="G235" s="6" t="s">
        <v>1713</v>
      </c>
      <c r="H235" s="6" t="s">
        <v>763</v>
      </c>
      <c r="I235" s="11" t="s">
        <v>733</v>
      </c>
      <c r="M235" s="10" t="s">
        <v>3786</v>
      </c>
      <c r="N235" s="9" t="s">
        <v>3261</v>
      </c>
      <c r="R235" s="10" t="s">
        <v>1713</v>
      </c>
      <c r="U235" s="5" t="s">
        <v>1713</v>
      </c>
    </row>
    <row r="236" spans="1:21" x14ac:dyDescent="0.2">
      <c r="A236" s="3">
        <v>235</v>
      </c>
      <c r="B236" s="5" t="s">
        <v>1290</v>
      </c>
      <c r="C236" s="5" t="s">
        <v>1174</v>
      </c>
      <c r="G236" s="6" t="s">
        <v>1713</v>
      </c>
      <c r="H236" s="6" t="s">
        <v>764</v>
      </c>
      <c r="M236" s="10" t="s">
        <v>3742</v>
      </c>
      <c r="R236" s="10" t="s">
        <v>1713</v>
      </c>
      <c r="U236" s="5" t="s">
        <v>1713</v>
      </c>
    </row>
    <row r="237" spans="1:21" x14ac:dyDescent="0.2">
      <c r="A237" s="3">
        <v>236</v>
      </c>
      <c r="B237" s="5" t="s">
        <v>322</v>
      </c>
      <c r="C237" s="5" t="s">
        <v>1201</v>
      </c>
      <c r="F237" s="4" t="s">
        <v>636</v>
      </c>
      <c r="G237" s="6" t="s">
        <v>1713</v>
      </c>
      <c r="H237" s="6" t="s">
        <v>765</v>
      </c>
      <c r="L237" s="21" t="s">
        <v>2715</v>
      </c>
      <c r="M237" s="10" t="s">
        <v>3710</v>
      </c>
      <c r="R237" s="10" t="s">
        <v>1713</v>
      </c>
      <c r="U237" s="5" t="s">
        <v>1713</v>
      </c>
    </row>
    <row r="238" spans="1:21" x14ac:dyDescent="0.2">
      <c r="A238" s="3">
        <v>237</v>
      </c>
      <c r="B238" s="5" t="s">
        <v>325</v>
      </c>
      <c r="C238" s="5" t="s">
        <v>1201</v>
      </c>
      <c r="F238" s="4" t="s">
        <v>639</v>
      </c>
      <c r="G238" s="6" t="s">
        <v>1713</v>
      </c>
      <c r="H238" s="6" t="s">
        <v>766</v>
      </c>
      <c r="L238" s="21" t="s">
        <v>2513</v>
      </c>
      <c r="M238" s="10" t="s">
        <v>3550</v>
      </c>
      <c r="Q238" s="21" t="s">
        <v>3444</v>
      </c>
      <c r="R238" s="10" t="s">
        <v>3444</v>
      </c>
      <c r="U238" s="5" t="s">
        <v>3444</v>
      </c>
    </row>
    <row r="239" spans="1:21" x14ac:dyDescent="0.2">
      <c r="A239" s="3">
        <v>238</v>
      </c>
      <c r="B239" s="5" t="s">
        <v>1291</v>
      </c>
      <c r="C239" s="5" t="s">
        <v>1220</v>
      </c>
      <c r="D239" s="5" t="s">
        <v>1206</v>
      </c>
      <c r="G239" s="6" t="s">
        <v>1713</v>
      </c>
      <c r="H239" s="6" t="s">
        <v>767</v>
      </c>
      <c r="M239" s="10" t="s">
        <v>3719</v>
      </c>
      <c r="R239" s="10" t="s">
        <v>1713</v>
      </c>
      <c r="U239" s="5" t="s">
        <v>1713</v>
      </c>
    </row>
    <row r="240" spans="1:21" x14ac:dyDescent="0.2">
      <c r="A240" s="3">
        <v>239</v>
      </c>
      <c r="B240" s="5" t="s">
        <v>1292</v>
      </c>
      <c r="C240" s="5" t="s">
        <v>1179</v>
      </c>
      <c r="G240" s="6" t="s">
        <v>1713</v>
      </c>
      <c r="H240" s="6" t="s">
        <v>768</v>
      </c>
      <c r="M240" s="10" t="s">
        <v>3835</v>
      </c>
      <c r="R240" s="10" t="s">
        <v>1713</v>
      </c>
      <c r="U240" s="5" t="s">
        <v>1713</v>
      </c>
    </row>
    <row r="241" spans="1:21" x14ac:dyDescent="0.2">
      <c r="A241" s="3">
        <v>240</v>
      </c>
      <c r="B241" s="5" t="s">
        <v>1293</v>
      </c>
      <c r="C241" s="5" t="s">
        <v>1170</v>
      </c>
      <c r="G241" s="6" t="s">
        <v>1713</v>
      </c>
      <c r="H241" s="6" t="s">
        <v>769</v>
      </c>
      <c r="M241" s="10" t="s">
        <v>3787</v>
      </c>
      <c r="R241" s="10" t="s">
        <v>1713</v>
      </c>
      <c r="U241" s="5" t="s">
        <v>1713</v>
      </c>
    </row>
    <row r="242" spans="1:21" x14ac:dyDescent="0.2">
      <c r="A242" s="3">
        <v>241</v>
      </c>
      <c r="B242" s="5" t="s">
        <v>1294</v>
      </c>
      <c r="C242" s="5" t="s">
        <v>1174</v>
      </c>
      <c r="G242" s="6" t="s">
        <v>1713</v>
      </c>
      <c r="H242" s="6" t="s">
        <v>770</v>
      </c>
      <c r="M242" s="10" t="s">
        <v>3710</v>
      </c>
      <c r="R242" s="10" t="s">
        <v>1713</v>
      </c>
      <c r="U242" s="5" t="s">
        <v>1713</v>
      </c>
    </row>
    <row r="243" spans="1:21" x14ac:dyDescent="0.2">
      <c r="A243" s="3">
        <v>242</v>
      </c>
      <c r="B243" s="5" t="s">
        <v>1295</v>
      </c>
      <c r="C243" s="5" t="s">
        <v>1174</v>
      </c>
      <c r="G243" s="6" t="s">
        <v>627</v>
      </c>
      <c r="H243" s="6" t="s">
        <v>771</v>
      </c>
      <c r="I243" s="11" t="s">
        <v>574</v>
      </c>
      <c r="M243" s="10" t="s">
        <v>3550</v>
      </c>
      <c r="N243" s="9" t="s">
        <v>3135</v>
      </c>
      <c r="R243" s="10" t="s">
        <v>3042</v>
      </c>
      <c r="S243" s="9" t="s">
        <v>3042</v>
      </c>
      <c r="U243" s="5" t="s">
        <v>3042</v>
      </c>
    </row>
    <row r="244" spans="1:21" x14ac:dyDescent="0.2">
      <c r="A244" s="3">
        <v>243</v>
      </c>
      <c r="B244" s="5" t="s">
        <v>1296</v>
      </c>
      <c r="C244" s="5" t="s">
        <v>1179</v>
      </c>
      <c r="G244" s="6" t="s">
        <v>1713</v>
      </c>
      <c r="H244" s="6" t="s">
        <v>772</v>
      </c>
      <c r="M244" s="10" t="s">
        <v>3800</v>
      </c>
      <c r="R244" s="10" t="s">
        <v>1713</v>
      </c>
      <c r="U244" s="5" t="s">
        <v>1713</v>
      </c>
    </row>
    <row r="245" spans="1:21" x14ac:dyDescent="0.2">
      <c r="A245" s="3">
        <v>244</v>
      </c>
      <c r="B245" s="5" t="s">
        <v>1297</v>
      </c>
      <c r="C245" s="5" t="s">
        <v>1170</v>
      </c>
      <c r="G245" s="6" t="s">
        <v>1713</v>
      </c>
      <c r="H245" s="6" t="s">
        <v>773</v>
      </c>
      <c r="M245" s="10" t="s">
        <v>3800</v>
      </c>
      <c r="R245" s="10" t="s">
        <v>1713</v>
      </c>
      <c r="U245" s="5" t="s">
        <v>1713</v>
      </c>
    </row>
    <row r="246" spans="1:21" x14ac:dyDescent="0.2">
      <c r="A246" s="3">
        <v>245</v>
      </c>
      <c r="B246" s="5" t="s">
        <v>1298</v>
      </c>
      <c r="C246" s="5" t="s">
        <v>1172</v>
      </c>
      <c r="G246" s="6" t="s">
        <v>1713</v>
      </c>
      <c r="H246" s="6" t="s">
        <v>774</v>
      </c>
      <c r="M246" s="10" t="s">
        <v>3800</v>
      </c>
      <c r="R246" s="10" t="s">
        <v>1713</v>
      </c>
      <c r="U246" s="5" t="s">
        <v>1713</v>
      </c>
    </row>
    <row r="247" spans="1:21" x14ac:dyDescent="0.2">
      <c r="A247" s="3">
        <v>246</v>
      </c>
      <c r="B247" s="5" t="s">
        <v>205</v>
      </c>
      <c r="C247" s="5" t="s">
        <v>1210</v>
      </c>
      <c r="D247" s="5" t="s">
        <v>1181</v>
      </c>
      <c r="F247" s="4" t="s">
        <v>912</v>
      </c>
      <c r="G247" s="6" t="s">
        <v>1713</v>
      </c>
      <c r="H247" s="6" t="s">
        <v>775</v>
      </c>
      <c r="I247" s="11" t="s">
        <v>845</v>
      </c>
      <c r="J247" s="19" t="s">
        <v>735</v>
      </c>
      <c r="L247" s="21" t="s">
        <v>2767</v>
      </c>
      <c r="M247" s="10" t="s">
        <v>3801</v>
      </c>
      <c r="N247" s="9" t="s">
        <v>3330</v>
      </c>
      <c r="O247" s="12" t="s">
        <v>1697</v>
      </c>
      <c r="R247" s="10" t="s">
        <v>1713</v>
      </c>
      <c r="T247" s="12" t="s">
        <v>1713</v>
      </c>
      <c r="U247" s="5" t="s">
        <v>1713</v>
      </c>
    </row>
    <row r="248" spans="1:21" x14ac:dyDescent="0.2">
      <c r="A248" s="3">
        <v>247</v>
      </c>
      <c r="B248" s="5" t="s">
        <v>206</v>
      </c>
      <c r="C248" s="5" t="s">
        <v>1210</v>
      </c>
      <c r="D248" s="5" t="s">
        <v>1181</v>
      </c>
      <c r="F248" s="4" t="s">
        <v>913</v>
      </c>
      <c r="G248" s="6" t="s">
        <v>1713</v>
      </c>
      <c r="H248" s="6" t="s">
        <v>776</v>
      </c>
      <c r="I248" s="11" t="s">
        <v>846</v>
      </c>
      <c r="J248" s="19" t="s">
        <v>736</v>
      </c>
      <c r="L248" s="21" t="s">
        <v>2768</v>
      </c>
      <c r="M248" s="10" t="s">
        <v>3801</v>
      </c>
      <c r="N248" s="9" t="s">
        <v>3331</v>
      </c>
      <c r="O248" s="12" t="s">
        <v>1804</v>
      </c>
      <c r="Q248" s="21" t="s">
        <v>1103</v>
      </c>
      <c r="R248" s="10" t="s">
        <v>1103</v>
      </c>
      <c r="S248" s="9" t="s">
        <v>1103</v>
      </c>
      <c r="T248" s="12" t="s">
        <v>1103</v>
      </c>
      <c r="U248" s="5" t="s">
        <v>1103</v>
      </c>
    </row>
    <row r="249" spans="1:21" x14ac:dyDescent="0.2">
      <c r="A249" s="3">
        <v>248</v>
      </c>
      <c r="B249" s="5" t="s">
        <v>207</v>
      </c>
      <c r="C249" s="5" t="s">
        <v>1210</v>
      </c>
      <c r="D249" s="5" t="s">
        <v>1270</v>
      </c>
      <c r="F249" s="4" t="s">
        <v>914</v>
      </c>
      <c r="G249" s="6" t="s">
        <v>1713</v>
      </c>
      <c r="H249" s="6" t="s">
        <v>777</v>
      </c>
      <c r="I249" s="11" t="s">
        <v>847</v>
      </c>
      <c r="J249" s="19" t="s">
        <v>737</v>
      </c>
      <c r="L249" s="21" t="s">
        <v>2707</v>
      </c>
      <c r="M249" s="10" t="s">
        <v>3550</v>
      </c>
      <c r="N249" s="9" t="s">
        <v>3550</v>
      </c>
      <c r="O249" s="12" t="s">
        <v>1804</v>
      </c>
      <c r="Q249" s="21" t="s">
        <v>1104</v>
      </c>
      <c r="R249" s="10" t="s">
        <v>1104</v>
      </c>
      <c r="S249" s="9" t="s">
        <v>1104</v>
      </c>
      <c r="T249" s="12" t="s">
        <v>1104</v>
      </c>
      <c r="U249" s="5" t="s">
        <v>1104</v>
      </c>
    </row>
    <row r="250" spans="1:21" x14ac:dyDescent="0.2">
      <c r="A250" s="3">
        <v>249</v>
      </c>
      <c r="B250" s="5" t="s">
        <v>1299</v>
      </c>
      <c r="C250" s="5" t="s">
        <v>1206</v>
      </c>
      <c r="D250" s="5" t="s">
        <v>1171</v>
      </c>
      <c r="G250" s="6" t="s">
        <v>1713</v>
      </c>
      <c r="H250" s="6" t="s">
        <v>778</v>
      </c>
      <c r="M250" s="10" t="s">
        <v>3788</v>
      </c>
      <c r="R250" s="10" t="s">
        <v>1713</v>
      </c>
      <c r="U250" s="5" t="s">
        <v>1713</v>
      </c>
    </row>
    <row r="251" spans="1:21" x14ac:dyDescent="0.2">
      <c r="A251" s="3">
        <v>250</v>
      </c>
      <c r="B251" s="5" t="s">
        <v>1300</v>
      </c>
      <c r="C251" s="5" t="s">
        <v>1170</v>
      </c>
      <c r="D251" s="5" t="s">
        <v>1171</v>
      </c>
      <c r="G251" s="6" t="s">
        <v>1713</v>
      </c>
      <c r="H251" s="6" t="s">
        <v>779</v>
      </c>
      <c r="M251" s="10" t="s">
        <v>3802</v>
      </c>
      <c r="R251" s="10" t="s">
        <v>1713</v>
      </c>
      <c r="U251" s="5" t="s">
        <v>1713</v>
      </c>
    </row>
    <row r="252" spans="1:21" x14ac:dyDescent="0.2">
      <c r="A252" s="3">
        <v>251</v>
      </c>
      <c r="B252" s="5" t="s">
        <v>1301</v>
      </c>
      <c r="C252" s="5" t="s">
        <v>1206</v>
      </c>
      <c r="D252" s="5" t="s">
        <v>1168</v>
      </c>
      <c r="G252" s="6" t="s">
        <v>1713</v>
      </c>
      <c r="H252" s="6" t="s">
        <v>780</v>
      </c>
      <c r="M252" s="10" t="s">
        <v>1138</v>
      </c>
      <c r="R252" s="10" t="s">
        <v>1713</v>
      </c>
      <c r="U252" s="5" t="s">
        <v>1713</v>
      </c>
    </row>
    <row r="253" spans="1:21" x14ac:dyDescent="0.2">
      <c r="A253" s="3">
        <v>252</v>
      </c>
      <c r="B253" s="5" t="s">
        <v>1302</v>
      </c>
      <c r="C253" s="5" t="s">
        <v>1168</v>
      </c>
      <c r="G253" s="6" t="s">
        <v>1713</v>
      </c>
      <c r="H253" s="6" t="s">
        <v>781</v>
      </c>
      <c r="M253" s="10" t="s">
        <v>3706</v>
      </c>
      <c r="R253" s="10" t="s">
        <v>1713</v>
      </c>
      <c r="U253" s="5" t="s">
        <v>1713</v>
      </c>
    </row>
    <row r="254" spans="1:21" x14ac:dyDescent="0.2">
      <c r="A254" s="3">
        <v>253</v>
      </c>
      <c r="B254" s="5" t="s">
        <v>1303</v>
      </c>
      <c r="C254" s="5" t="s">
        <v>1168</v>
      </c>
      <c r="G254" s="6" t="s">
        <v>1713</v>
      </c>
      <c r="H254" s="6" t="s">
        <v>782</v>
      </c>
      <c r="M254" s="10" t="s">
        <v>3550</v>
      </c>
      <c r="R254" s="10" t="s">
        <v>3583</v>
      </c>
      <c r="U254" s="5" t="s">
        <v>3583</v>
      </c>
    </row>
    <row r="255" spans="1:21" x14ac:dyDescent="0.2">
      <c r="A255" s="3">
        <v>254</v>
      </c>
      <c r="B255" s="5" t="s">
        <v>1304</v>
      </c>
      <c r="C255" s="5" t="s">
        <v>1168</v>
      </c>
      <c r="G255" s="6" t="s">
        <v>1713</v>
      </c>
      <c r="H255" s="6" t="s">
        <v>783</v>
      </c>
      <c r="M255" s="10" t="s">
        <v>3550</v>
      </c>
      <c r="R255" s="10" t="s">
        <v>3584</v>
      </c>
      <c r="U255" s="5" t="s">
        <v>3584</v>
      </c>
    </row>
    <row r="256" spans="1:21" x14ac:dyDescent="0.2">
      <c r="A256" s="3">
        <v>255</v>
      </c>
      <c r="B256" s="5" t="s">
        <v>1305</v>
      </c>
      <c r="C256" s="5" t="s">
        <v>1170</v>
      </c>
      <c r="G256" s="6" t="s">
        <v>1713</v>
      </c>
      <c r="H256" s="6" t="s">
        <v>784</v>
      </c>
      <c r="M256" s="10" t="s">
        <v>3707</v>
      </c>
      <c r="R256" s="10" t="s">
        <v>1713</v>
      </c>
      <c r="U256" s="5" t="s">
        <v>1713</v>
      </c>
    </row>
    <row r="257" spans="1:21" x14ac:dyDescent="0.2">
      <c r="A257" s="3">
        <v>256</v>
      </c>
      <c r="B257" s="5" t="s">
        <v>1306</v>
      </c>
      <c r="C257" s="5" t="s">
        <v>1170</v>
      </c>
      <c r="D257" s="5" t="s">
        <v>1201</v>
      </c>
      <c r="G257" s="6" t="s">
        <v>1713</v>
      </c>
      <c r="H257" s="6" t="s">
        <v>785</v>
      </c>
      <c r="M257" s="10" t="s">
        <v>3550</v>
      </c>
      <c r="R257" s="10" t="s">
        <v>3585</v>
      </c>
      <c r="U257" s="5" t="s">
        <v>3585</v>
      </c>
    </row>
    <row r="258" spans="1:21" x14ac:dyDescent="0.2">
      <c r="A258" s="3">
        <v>257</v>
      </c>
      <c r="B258" s="5" t="s">
        <v>1307</v>
      </c>
      <c r="C258" s="5" t="s">
        <v>1170</v>
      </c>
      <c r="D258" s="5" t="s">
        <v>1201</v>
      </c>
      <c r="G258" s="6" t="s">
        <v>1713</v>
      </c>
      <c r="H258" s="6" t="s">
        <v>786</v>
      </c>
      <c r="M258" s="10" t="s">
        <v>3550</v>
      </c>
      <c r="R258" s="10" t="s">
        <v>3586</v>
      </c>
      <c r="U258" s="5" t="s">
        <v>3586</v>
      </c>
    </row>
    <row r="259" spans="1:21" x14ac:dyDescent="0.2">
      <c r="A259" s="3">
        <v>258</v>
      </c>
      <c r="B259" s="5" t="s">
        <v>1308</v>
      </c>
      <c r="C259" s="5" t="s">
        <v>1172</v>
      </c>
      <c r="G259" s="6" t="s">
        <v>1713</v>
      </c>
      <c r="H259" s="6" t="s">
        <v>787</v>
      </c>
      <c r="M259" s="10" t="s">
        <v>3708</v>
      </c>
      <c r="R259" s="10" t="s">
        <v>1713</v>
      </c>
      <c r="U259" s="5" t="s">
        <v>1713</v>
      </c>
    </row>
    <row r="260" spans="1:21" x14ac:dyDescent="0.2">
      <c r="A260" s="3">
        <v>259</v>
      </c>
      <c r="B260" s="5" t="s">
        <v>1309</v>
      </c>
      <c r="C260" s="5" t="s">
        <v>1172</v>
      </c>
      <c r="D260" s="5" t="s">
        <v>1181</v>
      </c>
      <c r="G260" s="6" t="s">
        <v>1713</v>
      </c>
      <c r="H260" s="6" t="s">
        <v>788</v>
      </c>
      <c r="M260" s="10" t="s">
        <v>3550</v>
      </c>
      <c r="R260" s="10" t="s">
        <v>3587</v>
      </c>
      <c r="U260" s="5" t="s">
        <v>3587</v>
      </c>
    </row>
    <row r="261" spans="1:21" x14ac:dyDescent="0.2">
      <c r="A261" s="3">
        <v>260</v>
      </c>
      <c r="B261" s="5" t="s">
        <v>1310</v>
      </c>
      <c r="C261" s="5" t="s">
        <v>1172</v>
      </c>
      <c r="D261" s="5" t="s">
        <v>1181</v>
      </c>
      <c r="G261" s="6" t="s">
        <v>1713</v>
      </c>
      <c r="H261" s="6" t="s">
        <v>789</v>
      </c>
      <c r="M261" s="10" t="s">
        <v>3550</v>
      </c>
      <c r="R261" s="10" t="s">
        <v>3588</v>
      </c>
      <c r="U261" s="5" t="s">
        <v>3588</v>
      </c>
    </row>
    <row r="262" spans="1:21" x14ac:dyDescent="0.2">
      <c r="A262" s="3">
        <v>261</v>
      </c>
      <c r="B262" s="5" t="s">
        <v>1311</v>
      </c>
      <c r="C262" s="5" t="s">
        <v>1270</v>
      </c>
      <c r="G262" s="6" t="s">
        <v>1713</v>
      </c>
      <c r="H262" s="6" t="s">
        <v>790</v>
      </c>
      <c r="M262" s="10" t="s">
        <v>3710</v>
      </c>
      <c r="R262" s="10" t="s">
        <v>1713</v>
      </c>
      <c r="U262" s="5" t="s">
        <v>1713</v>
      </c>
    </row>
    <row r="263" spans="1:21" x14ac:dyDescent="0.2">
      <c r="A263" s="3">
        <v>262</v>
      </c>
      <c r="B263" s="5" t="s">
        <v>1312</v>
      </c>
      <c r="C263" s="5" t="s">
        <v>1270</v>
      </c>
      <c r="G263" s="6" t="s">
        <v>1713</v>
      </c>
      <c r="H263" s="6" t="s">
        <v>791</v>
      </c>
      <c r="M263" s="10" t="s">
        <v>3710</v>
      </c>
      <c r="R263" s="10" t="s">
        <v>3589</v>
      </c>
      <c r="U263" s="5" t="s">
        <v>3589</v>
      </c>
    </row>
    <row r="264" spans="1:21" x14ac:dyDescent="0.2">
      <c r="A264" s="3">
        <v>263</v>
      </c>
      <c r="B264" s="5" t="s">
        <v>262</v>
      </c>
      <c r="C264" s="5" t="s">
        <v>1174</v>
      </c>
      <c r="G264" s="6" t="s">
        <v>1713</v>
      </c>
      <c r="H264" s="6" t="s">
        <v>792</v>
      </c>
      <c r="M264" s="10" t="s">
        <v>3710</v>
      </c>
      <c r="R264" s="10" t="s">
        <v>1713</v>
      </c>
      <c r="U264" s="5" t="s">
        <v>1713</v>
      </c>
    </row>
    <row r="265" spans="1:21" x14ac:dyDescent="0.2">
      <c r="A265" s="3">
        <v>264</v>
      </c>
      <c r="B265" s="5" t="s">
        <v>263</v>
      </c>
      <c r="C265" s="5" t="s">
        <v>1174</v>
      </c>
      <c r="G265" s="6" t="s">
        <v>1713</v>
      </c>
      <c r="H265" s="6" t="s">
        <v>793</v>
      </c>
      <c r="M265" s="10" t="s">
        <v>3550</v>
      </c>
      <c r="R265" s="10" t="s">
        <v>3590</v>
      </c>
      <c r="U265" s="5" t="s">
        <v>3590</v>
      </c>
    </row>
    <row r="266" spans="1:21" x14ac:dyDescent="0.2">
      <c r="A266" s="3">
        <v>265</v>
      </c>
      <c r="B266" s="5" t="s">
        <v>1313</v>
      </c>
      <c r="C266" s="5" t="s">
        <v>1173</v>
      </c>
      <c r="G266" s="6" t="s">
        <v>577</v>
      </c>
      <c r="H266" s="6" t="s">
        <v>794</v>
      </c>
      <c r="M266" s="10" t="s">
        <v>3706</v>
      </c>
      <c r="R266" s="10" t="s">
        <v>1713</v>
      </c>
      <c r="U266" s="5" t="s">
        <v>1713</v>
      </c>
    </row>
    <row r="267" spans="1:21" x14ac:dyDescent="0.2">
      <c r="A267" s="3">
        <v>266</v>
      </c>
      <c r="B267" s="5" t="s">
        <v>1314</v>
      </c>
      <c r="C267" s="5" t="s">
        <v>1173</v>
      </c>
      <c r="G267" s="6" t="s">
        <v>578</v>
      </c>
      <c r="H267" s="6" t="s">
        <v>795</v>
      </c>
      <c r="M267" s="10" t="s">
        <v>3797</v>
      </c>
      <c r="R267" s="10" t="s">
        <v>3569</v>
      </c>
      <c r="U267" s="5" t="s">
        <v>3569</v>
      </c>
    </row>
    <row r="268" spans="1:21" x14ac:dyDescent="0.2">
      <c r="A268" s="3">
        <v>267</v>
      </c>
      <c r="B268" s="5" t="s">
        <v>1315</v>
      </c>
      <c r="C268" s="5" t="s">
        <v>1173</v>
      </c>
      <c r="D268" s="5" t="s">
        <v>1171</v>
      </c>
      <c r="G268" s="6" t="s">
        <v>579</v>
      </c>
      <c r="H268" s="6" t="s">
        <v>796</v>
      </c>
      <c r="M268" s="10" t="s">
        <v>3836</v>
      </c>
      <c r="R268" s="10" t="s">
        <v>3570</v>
      </c>
      <c r="U268" s="5" t="s">
        <v>3570</v>
      </c>
    </row>
    <row r="269" spans="1:21" x14ac:dyDescent="0.2">
      <c r="A269" s="3">
        <v>268</v>
      </c>
      <c r="B269" s="5" t="s">
        <v>1316</v>
      </c>
      <c r="C269" s="5" t="s">
        <v>1173</v>
      </c>
      <c r="G269" s="6" t="s">
        <v>580</v>
      </c>
      <c r="H269" s="6" t="s">
        <v>797</v>
      </c>
      <c r="M269" s="10" t="s">
        <v>3781</v>
      </c>
      <c r="R269" s="10" t="s">
        <v>3569</v>
      </c>
      <c r="U269" s="5" t="s">
        <v>3569</v>
      </c>
    </row>
    <row r="270" spans="1:21" x14ac:dyDescent="0.2">
      <c r="A270" s="3">
        <v>269</v>
      </c>
      <c r="B270" s="5" t="s">
        <v>1317</v>
      </c>
      <c r="C270" s="5" t="s">
        <v>1173</v>
      </c>
      <c r="D270" s="5" t="s">
        <v>1169</v>
      </c>
      <c r="G270" s="6" t="s">
        <v>581</v>
      </c>
      <c r="H270" s="6" t="s">
        <v>798</v>
      </c>
      <c r="M270" s="10" t="s">
        <v>3837</v>
      </c>
      <c r="R270" s="10" t="s">
        <v>3571</v>
      </c>
      <c r="U270" s="5" t="s">
        <v>3571</v>
      </c>
    </row>
    <row r="271" spans="1:21" x14ac:dyDescent="0.2">
      <c r="A271" s="3">
        <v>270</v>
      </c>
      <c r="B271" s="5" t="s">
        <v>267</v>
      </c>
      <c r="C271" s="5" t="s">
        <v>1172</v>
      </c>
      <c r="D271" s="5" t="s">
        <v>1168</v>
      </c>
      <c r="F271" s="4" t="s">
        <v>565</v>
      </c>
      <c r="G271" s="6" t="s">
        <v>1713</v>
      </c>
      <c r="H271" s="6" t="s">
        <v>799</v>
      </c>
      <c r="L271" s="21" t="s">
        <v>2530</v>
      </c>
      <c r="M271" s="10" t="s">
        <v>3789</v>
      </c>
      <c r="R271" s="10" t="s">
        <v>1713</v>
      </c>
      <c r="U271" s="5" t="s">
        <v>1713</v>
      </c>
    </row>
    <row r="272" spans="1:21" x14ac:dyDescent="0.2">
      <c r="A272" s="3">
        <v>271</v>
      </c>
      <c r="B272" s="5" t="s">
        <v>268</v>
      </c>
      <c r="C272" s="5" t="s">
        <v>1172</v>
      </c>
      <c r="D272" s="5" t="s">
        <v>1168</v>
      </c>
      <c r="F272" s="4" t="s">
        <v>566</v>
      </c>
      <c r="G272" s="6" t="s">
        <v>1713</v>
      </c>
      <c r="H272" s="6" t="s">
        <v>800</v>
      </c>
      <c r="L272" s="21" t="s">
        <v>2531</v>
      </c>
      <c r="M272" s="10" t="s">
        <v>3789</v>
      </c>
      <c r="Q272" s="21" t="s">
        <v>968</v>
      </c>
      <c r="R272" s="10" t="s">
        <v>968</v>
      </c>
      <c r="U272" s="5" t="s">
        <v>968</v>
      </c>
    </row>
    <row r="273" spans="1:21" x14ac:dyDescent="0.2">
      <c r="A273" s="3">
        <v>272</v>
      </c>
      <c r="B273" s="5" t="s">
        <v>269</v>
      </c>
      <c r="C273" s="5" t="s">
        <v>1172</v>
      </c>
      <c r="D273" s="5" t="s">
        <v>1168</v>
      </c>
      <c r="F273" s="4" t="s">
        <v>567</v>
      </c>
      <c r="G273" s="6" t="s">
        <v>1713</v>
      </c>
      <c r="H273" s="6" t="s">
        <v>801</v>
      </c>
      <c r="L273" s="21" t="s">
        <v>2532</v>
      </c>
      <c r="M273" s="10" t="s">
        <v>3550</v>
      </c>
      <c r="Q273" s="21" t="s">
        <v>969</v>
      </c>
      <c r="R273" s="10" t="s">
        <v>969</v>
      </c>
      <c r="U273" s="5" t="s">
        <v>969</v>
      </c>
    </row>
    <row r="274" spans="1:21" x14ac:dyDescent="0.2">
      <c r="A274" s="3">
        <v>273</v>
      </c>
      <c r="B274" s="5" t="s">
        <v>270</v>
      </c>
      <c r="C274" s="5" t="s">
        <v>1168</v>
      </c>
      <c r="F274" s="4" t="s">
        <v>568</v>
      </c>
      <c r="G274" s="6" t="s">
        <v>1713</v>
      </c>
      <c r="H274" s="6" t="s">
        <v>802</v>
      </c>
      <c r="L274" s="21" t="s">
        <v>2530</v>
      </c>
      <c r="M274" s="10" t="s">
        <v>3803</v>
      </c>
      <c r="R274" s="10" t="s">
        <v>1713</v>
      </c>
      <c r="U274" s="5" t="s">
        <v>1713</v>
      </c>
    </row>
    <row r="275" spans="1:21" x14ac:dyDescent="0.2">
      <c r="A275" s="3">
        <v>274</v>
      </c>
      <c r="B275" s="5" t="s">
        <v>271</v>
      </c>
      <c r="C275" s="5" t="s">
        <v>1168</v>
      </c>
      <c r="D275" s="5" t="s">
        <v>1270</v>
      </c>
      <c r="F275" s="4" t="s">
        <v>569</v>
      </c>
      <c r="G275" s="6" t="s">
        <v>1713</v>
      </c>
      <c r="H275" s="6" t="s">
        <v>803</v>
      </c>
      <c r="L275" s="21" t="s">
        <v>2712</v>
      </c>
      <c r="M275" s="10" t="s">
        <v>3803</v>
      </c>
      <c r="Q275" s="21" t="s">
        <v>970</v>
      </c>
      <c r="R275" s="10" t="s">
        <v>970</v>
      </c>
      <c r="U275" s="5" t="s">
        <v>970</v>
      </c>
    </row>
    <row r="276" spans="1:21" x14ac:dyDescent="0.2">
      <c r="A276" s="3">
        <v>275</v>
      </c>
      <c r="B276" s="5" t="s">
        <v>272</v>
      </c>
      <c r="C276" s="5" t="s">
        <v>1168</v>
      </c>
      <c r="D276" s="5" t="s">
        <v>1270</v>
      </c>
      <c r="F276" s="4" t="s">
        <v>570</v>
      </c>
      <c r="G276" s="6" t="s">
        <v>1713</v>
      </c>
      <c r="H276" s="6" t="s">
        <v>804</v>
      </c>
      <c r="L276" s="21" t="s">
        <v>2533</v>
      </c>
      <c r="M276" s="10" t="s">
        <v>3550</v>
      </c>
      <c r="Q276" s="21" t="s">
        <v>971</v>
      </c>
      <c r="R276" s="10" t="s">
        <v>971</v>
      </c>
      <c r="U276" s="5" t="s">
        <v>971</v>
      </c>
    </row>
    <row r="277" spans="1:21" x14ac:dyDescent="0.2">
      <c r="A277" s="3">
        <v>276</v>
      </c>
      <c r="B277" s="5" t="s">
        <v>1318</v>
      </c>
      <c r="C277" s="5" t="s">
        <v>1174</v>
      </c>
      <c r="D277" s="5" t="s">
        <v>1171</v>
      </c>
      <c r="G277" s="6" t="s">
        <v>1713</v>
      </c>
      <c r="H277" s="6" t="s">
        <v>805</v>
      </c>
      <c r="M277" s="10" t="s">
        <v>3550</v>
      </c>
      <c r="R277" s="10" t="s">
        <v>3556</v>
      </c>
      <c r="U277" s="5" t="s">
        <v>3556</v>
      </c>
    </row>
    <row r="278" spans="1:21" x14ac:dyDescent="0.2">
      <c r="A278" s="3">
        <v>277</v>
      </c>
      <c r="B278" s="5" t="s">
        <v>1319</v>
      </c>
      <c r="C278" s="5" t="s">
        <v>1174</v>
      </c>
      <c r="D278" s="5" t="s">
        <v>1171</v>
      </c>
      <c r="G278" s="6" t="s">
        <v>1713</v>
      </c>
      <c r="H278" s="6" t="s">
        <v>806</v>
      </c>
      <c r="M278" s="10" t="s">
        <v>3743</v>
      </c>
      <c r="R278" s="10" t="s">
        <v>3591</v>
      </c>
      <c r="U278" s="5" t="s">
        <v>3591</v>
      </c>
    </row>
    <row r="279" spans="1:21" x14ac:dyDescent="0.2">
      <c r="A279" s="3">
        <v>278</v>
      </c>
      <c r="B279" s="5" t="s">
        <v>288</v>
      </c>
      <c r="C279" s="5" t="s">
        <v>1172</v>
      </c>
      <c r="D279" s="5" t="s">
        <v>1171</v>
      </c>
      <c r="F279" s="4" t="s">
        <v>591</v>
      </c>
      <c r="G279" s="6" t="s">
        <v>648</v>
      </c>
      <c r="H279" s="6" t="s">
        <v>807</v>
      </c>
      <c r="I279" s="11" t="s">
        <v>661</v>
      </c>
      <c r="L279" s="21" t="s">
        <v>2552</v>
      </c>
      <c r="M279" s="10" t="s">
        <v>3733</v>
      </c>
      <c r="N279" s="9" t="s">
        <v>3205</v>
      </c>
      <c r="R279" s="10" t="s">
        <v>1713</v>
      </c>
      <c r="U279" s="5" t="s">
        <v>1713</v>
      </c>
    </row>
    <row r="280" spans="1:21" x14ac:dyDescent="0.2">
      <c r="A280" s="3">
        <v>279</v>
      </c>
      <c r="B280" s="5" t="s">
        <v>289</v>
      </c>
      <c r="C280" s="5" t="s">
        <v>1172</v>
      </c>
      <c r="D280" s="5" t="s">
        <v>1171</v>
      </c>
      <c r="F280" s="4" t="s">
        <v>592</v>
      </c>
      <c r="G280" s="6" t="s">
        <v>649</v>
      </c>
      <c r="H280" s="6" t="s">
        <v>808</v>
      </c>
      <c r="I280" s="11" t="s">
        <v>662</v>
      </c>
      <c r="L280" s="21" t="s">
        <v>2553</v>
      </c>
      <c r="M280" s="10" t="s">
        <v>3717</v>
      </c>
      <c r="N280" s="9" t="s">
        <v>3206</v>
      </c>
      <c r="Q280" s="21" t="s">
        <v>981</v>
      </c>
      <c r="R280" s="10" t="s">
        <v>981</v>
      </c>
      <c r="S280" s="9" t="s">
        <v>981</v>
      </c>
      <c r="U280" s="5" t="s">
        <v>981</v>
      </c>
    </row>
    <row r="281" spans="1:21" x14ac:dyDescent="0.2">
      <c r="A281" s="3">
        <v>280</v>
      </c>
      <c r="B281" s="5" t="s">
        <v>86</v>
      </c>
      <c r="C281" s="5" t="s">
        <v>1206</v>
      </c>
      <c r="D281" s="5" t="s">
        <v>1189</v>
      </c>
      <c r="F281" s="4" t="s">
        <v>649</v>
      </c>
      <c r="G281" s="6" t="s">
        <v>1713</v>
      </c>
      <c r="H281" s="6" t="s">
        <v>809</v>
      </c>
      <c r="I281" s="11" t="s">
        <v>591</v>
      </c>
      <c r="J281" s="19" t="s">
        <v>616</v>
      </c>
      <c r="L281" s="21" t="s">
        <v>2597</v>
      </c>
      <c r="M281" s="10" t="s">
        <v>3708</v>
      </c>
      <c r="N281" s="9" t="s">
        <v>3151</v>
      </c>
      <c r="O281" s="12" t="s">
        <v>1712</v>
      </c>
      <c r="T281" s="12" t="s">
        <v>1713</v>
      </c>
      <c r="U281" s="5" t="s">
        <v>1004</v>
      </c>
    </row>
    <row r="282" spans="1:21" x14ac:dyDescent="0.2">
      <c r="A282" s="3">
        <v>281</v>
      </c>
      <c r="B282" s="5" t="s">
        <v>87</v>
      </c>
      <c r="C282" s="5" t="s">
        <v>1206</v>
      </c>
      <c r="D282" s="5" t="s">
        <v>1189</v>
      </c>
      <c r="F282" s="4" t="s">
        <v>650</v>
      </c>
      <c r="G282" s="6" t="s">
        <v>1713</v>
      </c>
      <c r="H282" s="6" t="s">
        <v>810</v>
      </c>
      <c r="I282" s="11" t="s">
        <v>592</v>
      </c>
      <c r="J282" s="19" t="s">
        <v>617</v>
      </c>
      <c r="L282" s="21" t="s">
        <v>2597</v>
      </c>
      <c r="M282" s="10" t="s">
        <v>3719</v>
      </c>
      <c r="N282" s="9" t="s">
        <v>3152</v>
      </c>
      <c r="O282" s="12" t="s">
        <v>1804</v>
      </c>
      <c r="Q282" s="21" t="s">
        <v>1005</v>
      </c>
      <c r="R282" s="10" t="s">
        <v>1005</v>
      </c>
      <c r="S282" s="9" t="s">
        <v>1005</v>
      </c>
      <c r="T282" s="12" t="s">
        <v>1005</v>
      </c>
      <c r="U282" s="5" t="s">
        <v>1005</v>
      </c>
    </row>
    <row r="283" spans="1:21" x14ac:dyDescent="0.2">
      <c r="A283" s="3">
        <v>282</v>
      </c>
      <c r="B283" s="5" t="s">
        <v>88</v>
      </c>
      <c r="C283" s="5" t="s">
        <v>1206</v>
      </c>
      <c r="D283" s="5" t="s">
        <v>1189</v>
      </c>
      <c r="F283" s="4" t="s">
        <v>651</v>
      </c>
      <c r="G283" s="6" t="s">
        <v>1713</v>
      </c>
      <c r="H283" s="6" t="s">
        <v>811</v>
      </c>
      <c r="I283" s="11" t="s">
        <v>593</v>
      </c>
      <c r="J283" s="19" t="s">
        <v>618</v>
      </c>
      <c r="L283" s="21" t="s">
        <v>2528</v>
      </c>
      <c r="M283" s="10" t="s">
        <v>3550</v>
      </c>
      <c r="N283" s="9" t="s">
        <v>3153</v>
      </c>
      <c r="O283" s="12" t="s">
        <v>1677</v>
      </c>
      <c r="Q283" s="21" t="s">
        <v>1006</v>
      </c>
      <c r="R283" s="10" t="s">
        <v>1006</v>
      </c>
      <c r="S283" s="9" t="s">
        <v>1006</v>
      </c>
      <c r="T283" s="12" t="s">
        <v>1006</v>
      </c>
      <c r="U283" s="5" t="s">
        <v>1006</v>
      </c>
    </row>
    <row r="284" spans="1:21" x14ac:dyDescent="0.2">
      <c r="A284" s="3">
        <v>283</v>
      </c>
      <c r="B284" s="5" t="s">
        <v>1320</v>
      </c>
      <c r="C284" s="5" t="s">
        <v>1173</v>
      </c>
      <c r="D284" s="5" t="s">
        <v>1172</v>
      </c>
      <c r="G284" s="6" t="s">
        <v>1713</v>
      </c>
      <c r="H284" s="6" t="s">
        <v>812</v>
      </c>
      <c r="I284" s="11" t="s">
        <v>578</v>
      </c>
      <c r="M284" s="10" t="s">
        <v>3708</v>
      </c>
      <c r="N284" s="9" t="s">
        <v>3139</v>
      </c>
      <c r="R284" s="10" t="s">
        <v>1713</v>
      </c>
      <c r="U284" s="5" t="s">
        <v>1713</v>
      </c>
    </row>
    <row r="285" spans="1:21" x14ac:dyDescent="0.2">
      <c r="A285" s="3">
        <v>284</v>
      </c>
      <c r="B285" s="5" t="s">
        <v>1321</v>
      </c>
      <c r="C285" s="5" t="s">
        <v>1173</v>
      </c>
      <c r="D285" s="5" t="s">
        <v>1171</v>
      </c>
      <c r="G285" s="6" t="s">
        <v>1713</v>
      </c>
      <c r="H285" s="6" t="s">
        <v>813</v>
      </c>
      <c r="I285" s="11" t="s">
        <v>579</v>
      </c>
      <c r="M285" s="10" t="s">
        <v>3550</v>
      </c>
      <c r="N285" s="9" t="s">
        <v>3140</v>
      </c>
      <c r="R285" s="10" t="s">
        <v>3045</v>
      </c>
      <c r="S285" s="9" t="s">
        <v>3045</v>
      </c>
      <c r="U285" s="5" t="s">
        <v>3045</v>
      </c>
    </row>
    <row r="286" spans="1:21" x14ac:dyDescent="0.2">
      <c r="A286" s="3">
        <v>285</v>
      </c>
      <c r="B286" s="5" t="s">
        <v>1322</v>
      </c>
      <c r="C286" s="5" t="s">
        <v>1168</v>
      </c>
      <c r="G286" s="6" t="s">
        <v>1713</v>
      </c>
      <c r="H286" s="6" t="s">
        <v>814</v>
      </c>
      <c r="I286" s="11" t="s">
        <v>635</v>
      </c>
      <c r="M286" s="10" t="s">
        <v>3744</v>
      </c>
      <c r="N286" s="9" t="s">
        <v>3185</v>
      </c>
      <c r="R286" s="10" t="s">
        <v>1713</v>
      </c>
      <c r="U286" s="5" t="s">
        <v>1713</v>
      </c>
    </row>
    <row r="287" spans="1:21" x14ac:dyDescent="0.2">
      <c r="A287" s="3">
        <v>286</v>
      </c>
      <c r="B287" s="5" t="s">
        <v>1323</v>
      </c>
      <c r="C287" s="5" t="s">
        <v>1168</v>
      </c>
      <c r="D287" s="5" t="s">
        <v>1201</v>
      </c>
      <c r="G287" s="6" t="s">
        <v>1713</v>
      </c>
      <c r="H287" s="6" t="s">
        <v>815</v>
      </c>
      <c r="I287" s="11" t="s">
        <v>636</v>
      </c>
      <c r="M287" s="10" t="s">
        <v>3550</v>
      </c>
      <c r="N287" s="9" t="s">
        <v>3186</v>
      </c>
      <c r="R287" s="10" t="s">
        <v>3028</v>
      </c>
      <c r="S287" s="9" t="s">
        <v>3028</v>
      </c>
      <c r="U287" s="5" t="s">
        <v>3028</v>
      </c>
    </row>
    <row r="288" spans="1:21" x14ac:dyDescent="0.2">
      <c r="A288" s="3">
        <v>287</v>
      </c>
      <c r="B288" s="5" t="s">
        <v>1324</v>
      </c>
      <c r="C288" s="5" t="s">
        <v>1174</v>
      </c>
      <c r="G288" s="6" t="s">
        <v>1713</v>
      </c>
      <c r="H288" s="6" t="s">
        <v>816</v>
      </c>
      <c r="I288" s="11" t="s">
        <v>607</v>
      </c>
      <c r="M288" s="10" t="s">
        <v>3745</v>
      </c>
      <c r="N288" s="9" t="s">
        <v>3163</v>
      </c>
      <c r="R288" s="10" t="s">
        <v>1713</v>
      </c>
      <c r="U288" s="5" t="s">
        <v>1713</v>
      </c>
    </row>
    <row r="289" spans="1:21" x14ac:dyDescent="0.2">
      <c r="A289" s="3">
        <v>288</v>
      </c>
      <c r="B289" s="5" t="s">
        <v>1325</v>
      </c>
      <c r="C289" s="5" t="s">
        <v>1174</v>
      </c>
      <c r="G289" s="6" t="s">
        <v>1713</v>
      </c>
      <c r="H289" s="6" t="s">
        <v>817</v>
      </c>
      <c r="I289" s="11" t="s">
        <v>608</v>
      </c>
      <c r="M289" s="10" t="s">
        <v>3550</v>
      </c>
      <c r="N289" s="9" t="s">
        <v>3164</v>
      </c>
      <c r="R289" s="10" t="s">
        <v>3033</v>
      </c>
      <c r="S289" s="9" t="s">
        <v>3033</v>
      </c>
      <c r="U289" s="5" t="s">
        <v>3033</v>
      </c>
    </row>
    <row r="290" spans="1:21" x14ac:dyDescent="0.2">
      <c r="A290" s="3">
        <v>289</v>
      </c>
      <c r="B290" s="5" t="s">
        <v>1326</v>
      </c>
      <c r="C290" s="5" t="s">
        <v>1174</v>
      </c>
      <c r="G290" s="6" t="s">
        <v>1713</v>
      </c>
      <c r="H290" s="6" t="s">
        <v>818</v>
      </c>
      <c r="I290" s="11" t="s">
        <v>609</v>
      </c>
      <c r="M290" s="10" t="s">
        <v>3550</v>
      </c>
      <c r="N290" s="9" t="s">
        <v>3165</v>
      </c>
      <c r="R290" s="10" t="s">
        <v>3034</v>
      </c>
      <c r="S290" s="9" t="s">
        <v>3034</v>
      </c>
      <c r="U290" s="5" t="s">
        <v>3034</v>
      </c>
    </row>
    <row r="291" spans="1:21" x14ac:dyDescent="0.2">
      <c r="A291" s="3">
        <v>290</v>
      </c>
      <c r="B291" s="5" t="s">
        <v>319</v>
      </c>
      <c r="C291" s="5" t="s">
        <v>1173</v>
      </c>
      <c r="D291" s="5" t="s">
        <v>1181</v>
      </c>
      <c r="F291" s="4" t="s">
        <v>633</v>
      </c>
      <c r="G291" s="6" t="s">
        <v>1713</v>
      </c>
      <c r="H291" s="6" t="s">
        <v>819</v>
      </c>
      <c r="L291" s="21" t="s">
        <v>2586</v>
      </c>
      <c r="M291" s="10" t="s">
        <v>3706</v>
      </c>
      <c r="R291" s="10" t="s">
        <v>1713</v>
      </c>
      <c r="U291" s="5" t="s">
        <v>1713</v>
      </c>
    </row>
    <row r="292" spans="1:21" x14ac:dyDescent="0.2">
      <c r="A292" s="3">
        <v>291</v>
      </c>
      <c r="B292" s="5" t="s">
        <v>320</v>
      </c>
      <c r="C292" s="5" t="s">
        <v>1173</v>
      </c>
      <c r="D292" s="5" t="s">
        <v>1171</v>
      </c>
      <c r="F292" s="4" t="s">
        <v>634</v>
      </c>
      <c r="G292" s="6" t="s">
        <v>1713</v>
      </c>
      <c r="H292" s="6" t="s">
        <v>820</v>
      </c>
      <c r="L292" s="21" t="s">
        <v>3550</v>
      </c>
      <c r="M292" s="10" t="s">
        <v>3550</v>
      </c>
      <c r="Q292" s="21" t="s">
        <v>1001</v>
      </c>
      <c r="R292" s="10" t="s">
        <v>1001</v>
      </c>
      <c r="U292" s="5" t="s">
        <v>1001</v>
      </c>
    </row>
    <row r="293" spans="1:21" x14ac:dyDescent="0.2">
      <c r="A293" s="3">
        <v>292</v>
      </c>
      <c r="B293" s="5" t="s">
        <v>321</v>
      </c>
      <c r="C293" s="5" t="s">
        <v>1173</v>
      </c>
      <c r="D293" s="5" t="s">
        <v>1223</v>
      </c>
      <c r="F293" s="4" t="s">
        <v>635</v>
      </c>
      <c r="G293" s="6" t="s">
        <v>1713</v>
      </c>
      <c r="H293" s="6" t="s">
        <v>821</v>
      </c>
      <c r="L293" s="21" t="s">
        <v>2587</v>
      </c>
      <c r="M293" s="10" t="s">
        <v>3550</v>
      </c>
      <c r="Q293" s="21" t="s">
        <v>1114</v>
      </c>
      <c r="R293" s="10" t="s">
        <v>1114</v>
      </c>
      <c r="U293" s="5" t="s">
        <v>1114</v>
      </c>
    </row>
    <row r="294" spans="1:21" x14ac:dyDescent="0.2">
      <c r="A294" s="3">
        <v>293</v>
      </c>
      <c r="B294" s="5" t="s">
        <v>1327</v>
      </c>
      <c r="C294" s="5" t="s">
        <v>1174</v>
      </c>
      <c r="G294" s="6" t="s">
        <v>1713</v>
      </c>
      <c r="H294" s="6" t="s">
        <v>822</v>
      </c>
      <c r="M294" s="10" t="s">
        <v>3550</v>
      </c>
      <c r="R294" s="10" t="s">
        <v>3557</v>
      </c>
      <c r="U294" s="5" t="s">
        <v>3557</v>
      </c>
    </row>
    <row r="295" spans="1:21" x14ac:dyDescent="0.2">
      <c r="A295" s="3">
        <v>294</v>
      </c>
      <c r="B295" s="5" t="s">
        <v>1328</v>
      </c>
      <c r="C295" s="5" t="s">
        <v>1174</v>
      </c>
      <c r="G295" s="6" t="s">
        <v>1713</v>
      </c>
      <c r="H295" s="6" t="s">
        <v>823</v>
      </c>
      <c r="M295" s="10" t="s">
        <v>3746</v>
      </c>
      <c r="R295" s="10" t="s">
        <v>3592</v>
      </c>
      <c r="U295" s="5" t="s">
        <v>3592</v>
      </c>
    </row>
    <row r="296" spans="1:21" x14ac:dyDescent="0.2">
      <c r="A296" s="3">
        <v>295</v>
      </c>
      <c r="B296" s="5" t="s">
        <v>1329</v>
      </c>
      <c r="C296" s="5" t="s">
        <v>1174</v>
      </c>
      <c r="G296" s="6" t="s">
        <v>1713</v>
      </c>
      <c r="H296" s="6" t="s">
        <v>824</v>
      </c>
      <c r="M296" s="10" t="s">
        <v>3550</v>
      </c>
      <c r="R296" s="10" t="s">
        <v>3593</v>
      </c>
      <c r="U296" s="5" t="s">
        <v>3593</v>
      </c>
    </row>
    <row r="297" spans="1:21" x14ac:dyDescent="0.2">
      <c r="A297" s="3">
        <v>296</v>
      </c>
      <c r="B297" s="5" t="s">
        <v>1330</v>
      </c>
      <c r="C297" s="5" t="s">
        <v>1201</v>
      </c>
      <c r="G297" s="6" t="s">
        <v>1713</v>
      </c>
      <c r="H297" s="6" t="s">
        <v>825</v>
      </c>
      <c r="I297" s="11" t="s">
        <v>645</v>
      </c>
      <c r="M297" s="10" t="s">
        <v>3747</v>
      </c>
      <c r="N297" s="9" t="s">
        <v>3193</v>
      </c>
      <c r="R297" s="10" t="s">
        <v>1713</v>
      </c>
      <c r="U297" s="5" t="s">
        <v>1713</v>
      </c>
    </row>
    <row r="298" spans="1:21" x14ac:dyDescent="0.2">
      <c r="A298" s="3">
        <v>297</v>
      </c>
      <c r="B298" s="5" t="s">
        <v>1331</v>
      </c>
      <c r="C298" s="5" t="s">
        <v>1201</v>
      </c>
      <c r="G298" s="6" t="s">
        <v>1713</v>
      </c>
      <c r="H298" s="6" t="s">
        <v>826</v>
      </c>
      <c r="I298" s="11" t="s">
        <v>646</v>
      </c>
      <c r="M298" s="10" t="s">
        <v>3550</v>
      </c>
      <c r="N298" s="9" t="s">
        <v>3172</v>
      </c>
      <c r="R298" s="10" t="s">
        <v>3065</v>
      </c>
      <c r="S298" s="9" t="s">
        <v>3065</v>
      </c>
      <c r="U298" s="5" t="s">
        <v>3065</v>
      </c>
    </row>
    <row r="299" spans="1:21" x14ac:dyDescent="0.2">
      <c r="A299" s="3">
        <v>298</v>
      </c>
      <c r="B299" s="5" t="s">
        <v>1332</v>
      </c>
      <c r="C299" s="5" t="s">
        <v>1174</v>
      </c>
      <c r="D299" s="5" t="s">
        <v>1189</v>
      </c>
      <c r="G299" s="6" t="s">
        <v>653</v>
      </c>
      <c r="H299" s="6" t="s">
        <v>827</v>
      </c>
      <c r="I299" s="11" t="s">
        <v>575</v>
      </c>
      <c r="M299" s="10" t="s">
        <v>3838</v>
      </c>
      <c r="N299" s="9" t="s">
        <v>3136</v>
      </c>
      <c r="R299" s="10" t="s">
        <v>1713</v>
      </c>
      <c r="U299" s="5" t="s">
        <v>1713</v>
      </c>
    </row>
    <row r="300" spans="1:21" x14ac:dyDescent="0.2">
      <c r="A300" s="3">
        <v>299</v>
      </c>
      <c r="B300" s="5" t="s">
        <v>1333</v>
      </c>
      <c r="C300" s="5" t="s">
        <v>1210</v>
      </c>
      <c r="G300" s="6" t="s">
        <v>1713</v>
      </c>
      <c r="H300" s="6" t="s">
        <v>828</v>
      </c>
      <c r="M300" s="10" t="s">
        <v>3748</v>
      </c>
      <c r="R300" s="10" t="s">
        <v>1713</v>
      </c>
      <c r="U300" s="5" t="s">
        <v>1713</v>
      </c>
    </row>
    <row r="301" spans="1:21" x14ac:dyDescent="0.2">
      <c r="A301" s="3">
        <v>300</v>
      </c>
      <c r="B301" s="5" t="s">
        <v>1334</v>
      </c>
      <c r="C301" s="5" t="s">
        <v>1174</v>
      </c>
      <c r="G301" s="6" t="s">
        <v>1713</v>
      </c>
      <c r="H301" s="6" t="s">
        <v>829</v>
      </c>
      <c r="M301" s="10" t="s">
        <v>3710</v>
      </c>
      <c r="R301" s="10" t="s">
        <v>1713</v>
      </c>
      <c r="U301" s="5" t="s">
        <v>1713</v>
      </c>
    </row>
    <row r="302" spans="1:21" x14ac:dyDescent="0.2">
      <c r="A302" s="3">
        <v>301</v>
      </c>
      <c r="B302" s="5" t="s">
        <v>1335</v>
      </c>
      <c r="C302" s="5" t="s">
        <v>1174</v>
      </c>
      <c r="G302" s="6" t="s">
        <v>1713</v>
      </c>
      <c r="H302" s="6" t="s">
        <v>830</v>
      </c>
      <c r="M302" s="10" t="s">
        <v>3550</v>
      </c>
      <c r="R302" s="10" t="s">
        <v>3595</v>
      </c>
      <c r="U302" s="5" t="s">
        <v>3595</v>
      </c>
    </row>
    <row r="303" spans="1:21" x14ac:dyDescent="0.2">
      <c r="A303" s="3">
        <v>302</v>
      </c>
      <c r="B303" s="5" t="s">
        <v>131</v>
      </c>
      <c r="C303" s="5" t="s">
        <v>1270</v>
      </c>
      <c r="D303" s="5" t="s">
        <v>1223</v>
      </c>
      <c r="F303" s="4" t="s">
        <v>823</v>
      </c>
      <c r="G303" s="6" t="s">
        <v>1713</v>
      </c>
      <c r="H303" s="6" t="s">
        <v>831</v>
      </c>
      <c r="I303" s="11" t="s">
        <v>826</v>
      </c>
      <c r="J303" s="19" t="s">
        <v>661</v>
      </c>
      <c r="L303" s="21" t="s">
        <v>2684</v>
      </c>
      <c r="M303" s="10" t="s">
        <v>3790</v>
      </c>
      <c r="N303" s="9" t="s">
        <v>3316</v>
      </c>
      <c r="O303" s="12" t="s">
        <v>1688</v>
      </c>
      <c r="R303" s="10" t="s">
        <v>1713</v>
      </c>
      <c r="T303" s="12" t="s">
        <v>1713</v>
      </c>
      <c r="U303" s="5" t="s">
        <v>1713</v>
      </c>
    </row>
    <row r="304" spans="1:21" x14ac:dyDescent="0.2">
      <c r="A304" s="3">
        <v>303</v>
      </c>
      <c r="B304" s="5" t="s">
        <v>132</v>
      </c>
      <c r="C304" s="5" t="s">
        <v>1214</v>
      </c>
      <c r="D304" s="5" t="s">
        <v>1189</v>
      </c>
      <c r="F304" s="4" t="s">
        <v>824</v>
      </c>
      <c r="G304" s="6" t="s">
        <v>1713</v>
      </c>
      <c r="H304" s="6" t="s">
        <v>832</v>
      </c>
      <c r="J304" s="19" t="s">
        <v>662</v>
      </c>
      <c r="L304" s="21" t="s">
        <v>2685</v>
      </c>
      <c r="M304" s="10" t="s">
        <v>3804</v>
      </c>
      <c r="O304" s="12" t="s">
        <v>1688</v>
      </c>
      <c r="R304" s="10" t="s">
        <v>1713</v>
      </c>
      <c r="T304" s="12" t="s">
        <v>1713</v>
      </c>
      <c r="U304" s="5" t="s">
        <v>1713</v>
      </c>
    </row>
    <row r="305" spans="1:21" x14ac:dyDescent="0.2">
      <c r="A305" s="3">
        <v>304</v>
      </c>
      <c r="B305" s="5" t="s">
        <v>198</v>
      </c>
      <c r="C305" s="5" t="s">
        <v>1214</v>
      </c>
      <c r="D305" s="5" t="s">
        <v>1210</v>
      </c>
      <c r="G305" s="6" t="s">
        <v>1713</v>
      </c>
      <c r="H305" s="6" t="s">
        <v>833</v>
      </c>
      <c r="J305" s="19" t="s">
        <v>728</v>
      </c>
      <c r="M305" s="10" t="s">
        <v>3721</v>
      </c>
      <c r="O305" s="12" t="s">
        <v>1694</v>
      </c>
      <c r="R305" s="10" t="s">
        <v>1713</v>
      </c>
      <c r="T305" s="12" t="s">
        <v>1713</v>
      </c>
      <c r="U305" s="5" t="s">
        <v>1713</v>
      </c>
    </row>
    <row r="306" spans="1:21" x14ac:dyDescent="0.2">
      <c r="A306" s="3">
        <v>305</v>
      </c>
      <c r="B306" s="5" t="s">
        <v>199</v>
      </c>
      <c r="C306" s="5" t="s">
        <v>1214</v>
      </c>
      <c r="D306" s="5" t="s">
        <v>1210</v>
      </c>
      <c r="G306" s="6" t="s">
        <v>1713</v>
      </c>
      <c r="H306" s="6" t="s">
        <v>834</v>
      </c>
      <c r="J306" s="19" t="s">
        <v>729</v>
      </c>
      <c r="M306" s="10" t="s">
        <v>3721</v>
      </c>
      <c r="O306" s="12" t="s">
        <v>1694</v>
      </c>
      <c r="R306" s="10" t="s">
        <v>1777</v>
      </c>
      <c r="T306" s="12" t="s">
        <v>1777</v>
      </c>
      <c r="U306" s="5" t="s">
        <v>1777</v>
      </c>
    </row>
    <row r="307" spans="1:21" x14ac:dyDescent="0.2">
      <c r="A307" s="3">
        <v>306</v>
      </c>
      <c r="B307" s="5" t="s">
        <v>200</v>
      </c>
      <c r="C307" s="5" t="s">
        <v>1214</v>
      </c>
      <c r="D307" s="5" t="s">
        <v>1210</v>
      </c>
      <c r="G307" s="6" t="s">
        <v>1713</v>
      </c>
      <c r="H307" s="6" t="s">
        <v>835</v>
      </c>
      <c r="J307" s="19" t="s">
        <v>730</v>
      </c>
      <c r="M307" s="10" t="s">
        <v>3550</v>
      </c>
      <c r="O307" s="12" t="s">
        <v>1677</v>
      </c>
      <c r="R307" s="10" t="s">
        <v>1778</v>
      </c>
      <c r="T307" s="12" t="s">
        <v>1778</v>
      </c>
      <c r="U307" s="5" t="s">
        <v>1778</v>
      </c>
    </row>
    <row r="308" spans="1:21" x14ac:dyDescent="0.2">
      <c r="A308" s="3">
        <v>307</v>
      </c>
      <c r="B308" s="5" t="s">
        <v>82</v>
      </c>
      <c r="C308" s="5" t="s">
        <v>1201</v>
      </c>
      <c r="D308" s="5" t="s">
        <v>1206</v>
      </c>
      <c r="G308" s="6" t="s">
        <v>615</v>
      </c>
      <c r="H308" s="6" t="s">
        <v>836</v>
      </c>
      <c r="I308" s="11" t="s">
        <v>690</v>
      </c>
      <c r="J308" s="19" t="s">
        <v>612</v>
      </c>
      <c r="M308" s="10" t="s">
        <v>3749</v>
      </c>
      <c r="N308" s="9" t="s">
        <v>3229</v>
      </c>
      <c r="O308" s="12" t="s">
        <v>2398</v>
      </c>
      <c r="R308" s="10" t="s">
        <v>1713</v>
      </c>
      <c r="T308" s="12" t="s">
        <v>1713</v>
      </c>
      <c r="U308" s="5" t="s">
        <v>1713</v>
      </c>
    </row>
    <row r="309" spans="1:21" x14ac:dyDescent="0.2">
      <c r="A309" s="3">
        <v>308</v>
      </c>
      <c r="B309" s="5" t="s">
        <v>83</v>
      </c>
      <c r="C309" s="5" t="s">
        <v>1201</v>
      </c>
      <c r="D309" s="5" t="s">
        <v>1206</v>
      </c>
      <c r="G309" s="6" t="s">
        <v>616</v>
      </c>
      <c r="H309" s="6" t="s">
        <v>837</v>
      </c>
      <c r="I309" s="11" t="s">
        <v>691</v>
      </c>
      <c r="J309" s="19" t="s">
        <v>613</v>
      </c>
      <c r="M309" s="10" t="s">
        <v>3839</v>
      </c>
      <c r="N309" s="9" t="s">
        <v>3230</v>
      </c>
      <c r="O309" s="12" t="s">
        <v>2396</v>
      </c>
      <c r="R309" s="10" t="s">
        <v>1754</v>
      </c>
      <c r="S309" s="9" t="s">
        <v>1754</v>
      </c>
      <c r="T309" s="12" t="s">
        <v>1754</v>
      </c>
      <c r="U309" s="5" t="s">
        <v>1754</v>
      </c>
    </row>
    <row r="310" spans="1:21" x14ac:dyDescent="0.2">
      <c r="A310" s="3">
        <v>309</v>
      </c>
      <c r="B310" s="5" t="s">
        <v>84</v>
      </c>
      <c r="C310" s="5" t="s">
        <v>1179</v>
      </c>
      <c r="F310" s="4" t="s">
        <v>595</v>
      </c>
      <c r="G310" s="6" t="s">
        <v>1713</v>
      </c>
      <c r="H310" s="6" t="s">
        <v>838</v>
      </c>
      <c r="J310" s="19" t="s">
        <v>614</v>
      </c>
      <c r="L310" s="21" t="s">
        <v>2554</v>
      </c>
      <c r="M310" s="10" t="s">
        <v>3750</v>
      </c>
      <c r="O310" s="12" t="s">
        <v>1684</v>
      </c>
      <c r="T310" s="12" t="s">
        <v>1713</v>
      </c>
      <c r="U310" s="5" t="s">
        <v>983</v>
      </c>
    </row>
    <row r="311" spans="1:21" x14ac:dyDescent="0.2">
      <c r="A311" s="3">
        <v>310</v>
      </c>
      <c r="B311" s="5" t="s">
        <v>85</v>
      </c>
      <c r="C311" s="5" t="s">
        <v>1179</v>
      </c>
      <c r="F311" s="4" t="s">
        <v>596</v>
      </c>
      <c r="G311" s="6" t="s">
        <v>1713</v>
      </c>
      <c r="H311" s="6" t="s">
        <v>839</v>
      </c>
      <c r="J311" s="19" t="s">
        <v>615</v>
      </c>
      <c r="L311" s="21" t="s">
        <v>2555</v>
      </c>
      <c r="M311" s="10" t="s">
        <v>3550</v>
      </c>
      <c r="O311" s="12" t="s">
        <v>1699</v>
      </c>
      <c r="Q311" s="21" t="s">
        <v>983</v>
      </c>
      <c r="R311" s="10" t="s">
        <v>983</v>
      </c>
      <c r="T311" s="12" t="s">
        <v>983</v>
      </c>
      <c r="U311" s="5" t="s">
        <v>983</v>
      </c>
    </row>
    <row r="312" spans="1:21" x14ac:dyDescent="0.2">
      <c r="A312" s="3">
        <v>311</v>
      </c>
      <c r="B312" s="5" t="s">
        <v>1336</v>
      </c>
      <c r="C312" s="5" t="s">
        <v>1179</v>
      </c>
      <c r="G312" s="6" t="s">
        <v>1713</v>
      </c>
      <c r="H312" s="6" t="s">
        <v>840</v>
      </c>
      <c r="M312" s="10" t="s">
        <v>3711</v>
      </c>
      <c r="R312" s="10" t="s">
        <v>1713</v>
      </c>
      <c r="U312" s="5" t="s">
        <v>1713</v>
      </c>
    </row>
    <row r="313" spans="1:21" x14ac:dyDescent="0.2">
      <c r="A313" s="3">
        <v>312</v>
      </c>
      <c r="B313" s="5" t="s">
        <v>1337</v>
      </c>
      <c r="C313" s="5" t="s">
        <v>1179</v>
      </c>
      <c r="G313" s="6" t="s">
        <v>1713</v>
      </c>
      <c r="H313" s="6" t="s">
        <v>841</v>
      </c>
      <c r="M313" s="10" t="s">
        <v>3711</v>
      </c>
      <c r="R313" s="10" t="s">
        <v>1713</v>
      </c>
      <c r="U313" s="5" t="s">
        <v>1713</v>
      </c>
    </row>
    <row r="314" spans="1:21" x14ac:dyDescent="0.2">
      <c r="A314" s="3">
        <v>313</v>
      </c>
      <c r="B314" s="5" t="s">
        <v>1338</v>
      </c>
      <c r="C314" s="5" t="s">
        <v>1173</v>
      </c>
      <c r="G314" s="6" t="s">
        <v>1713</v>
      </c>
      <c r="H314" s="6" t="s">
        <v>842</v>
      </c>
      <c r="M314" s="10" t="s">
        <v>3706</v>
      </c>
      <c r="R314" s="10" t="s">
        <v>1713</v>
      </c>
      <c r="U314" s="5" t="s">
        <v>1713</v>
      </c>
    </row>
    <row r="315" spans="1:21" x14ac:dyDescent="0.2">
      <c r="A315" s="3">
        <v>314</v>
      </c>
      <c r="B315" s="5" t="s">
        <v>1339</v>
      </c>
      <c r="C315" s="5" t="s">
        <v>1173</v>
      </c>
      <c r="G315" s="6" t="s">
        <v>1713</v>
      </c>
      <c r="H315" s="6" t="s">
        <v>843</v>
      </c>
      <c r="M315" s="10" t="s">
        <v>3706</v>
      </c>
      <c r="R315" s="10" t="s">
        <v>1713</v>
      </c>
      <c r="U315" s="5" t="s">
        <v>1713</v>
      </c>
    </row>
    <row r="316" spans="1:21" x14ac:dyDescent="0.2">
      <c r="A316" s="3">
        <v>315</v>
      </c>
      <c r="B316" s="5" t="s">
        <v>29</v>
      </c>
      <c r="C316" s="5" t="s">
        <v>1168</v>
      </c>
      <c r="D316" s="5" t="s">
        <v>1169</v>
      </c>
      <c r="F316" s="4" t="s">
        <v>589</v>
      </c>
      <c r="G316" s="6" t="s">
        <v>555</v>
      </c>
      <c r="H316" s="6" t="s">
        <v>844</v>
      </c>
      <c r="J316" s="19" t="s">
        <v>559</v>
      </c>
      <c r="L316" s="21" t="s">
        <v>2550</v>
      </c>
      <c r="M316" s="10" t="s">
        <v>3706</v>
      </c>
      <c r="O316" s="13" t="s">
        <v>1687</v>
      </c>
      <c r="Q316" s="21" t="s">
        <v>1113</v>
      </c>
      <c r="R316" s="10" t="s">
        <v>3565</v>
      </c>
      <c r="T316" s="12" t="s">
        <v>1113</v>
      </c>
      <c r="U316" s="5" t="s">
        <v>1113</v>
      </c>
    </row>
    <row r="317" spans="1:21" x14ac:dyDescent="0.2">
      <c r="A317" s="3">
        <v>316</v>
      </c>
      <c r="B317" s="5" t="s">
        <v>1340</v>
      </c>
      <c r="C317" s="5" t="s">
        <v>1169</v>
      </c>
      <c r="G317" s="6" t="s">
        <v>1713</v>
      </c>
      <c r="H317" s="6" t="s">
        <v>845</v>
      </c>
      <c r="I317" s="11" t="s">
        <v>668</v>
      </c>
      <c r="M317" s="10" t="s">
        <v>3744</v>
      </c>
      <c r="N317" s="9" t="s">
        <v>3212</v>
      </c>
      <c r="R317" s="10" t="s">
        <v>1713</v>
      </c>
      <c r="U317" s="5" t="s">
        <v>1713</v>
      </c>
    </row>
    <row r="318" spans="1:21" x14ac:dyDescent="0.2">
      <c r="A318" s="3">
        <v>317</v>
      </c>
      <c r="B318" s="5" t="s">
        <v>1341</v>
      </c>
      <c r="C318" s="5" t="s">
        <v>1169</v>
      </c>
      <c r="G318" s="6" t="s">
        <v>1713</v>
      </c>
      <c r="H318" s="6" t="s">
        <v>846</v>
      </c>
      <c r="I318" s="11" t="s">
        <v>669</v>
      </c>
      <c r="M318" s="10" t="s">
        <v>3550</v>
      </c>
      <c r="N318" s="9" t="s">
        <v>3213</v>
      </c>
      <c r="R318" s="10" t="s">
        <v>3021</v>
      </c>
      <c r="S318" s="9" t="s">
        <v>3021</v>
      </c>
      <c r="U318" s="5" t="s">
        <v>3021</v>
      </c>
    </row>
    <row r="319" spans="1:21" x14ac:dyDescent="0.2">
      <c r="A319" s="3">
        <v>318</v>
      </c>
      <c r="B319" s="5" t="s">
        <v>139</v>
      </c>
      <c r="C319" s="5" t="s">
        <v>1172</v>
      </c>
      <c r="D319" s="5" t="s">
        <v>1270</v>
      </c>
      <c r="G319" s="6" t="s">
        <v>1713</v>
      </c>
      <c r="H319" s="6" t="s">
        <v>847</v>
      </c>
      <c r="J319" s="19" t="s">
        <v>669</v>
      </c>
      <c r="M319" s="10" t="s">
        <v>3708</v>
      </c>
      <c r="O319" s="12" t="s">
        <v>1689</v>
      </c>
      <c r="R319" s="10" t="s">
        <v>1713</v>
      </c>
      <c r="T319" s="12" t="s">
        <v>1713</v>
      </c>
      <c r="U319" s="5" t="s">
        <v>1713</v>
      </c>
    </row>
    <row r="320" spans="1:21" x14ac:dyDescent="0.2">
      <c r="A320" s="3">
        <v>319</v>
      </c>
      <c r="B320" s="5" t="s">
        <v>140</v>
      </c>
      <c r="C320" s="5" t="s">
        <v>1172</v>
      </c>
      <c r="D320" s="5" t="s">
        <v>1270</v>
      </c>
      <c r="G320" s="6" t="s">
        <v>1713</v>
      </c>
      <c r="H320" s="6" t="s">
        <v>848</v>
      </c>
      <c r="J320" s="19" t="s">
        <v>670</v>
      </c>
      <c r="M320" s="10" t="s">
        <v>3751</v>
      </c>
      <c r="O320" s="12" t="s">
        <v>1804</v>
      </c>
      <c r="R320" s="10" t="s">
        <v>1764</v>
      </c>
      <c r="T320" s="12" t="s">
        <v>1764</v>
      </c>
      <c r="U320" s="5" t="s">
        <v>1764</v>
      </c>
    </row>
    <row r="321" spans="1:21" x14ac:dyDescent="0.2">
      <c r="A321" s="3">
        <v>320</v>
      </c>
      <c r="B321" s="5" t="s">
        <v>500</v>
      </c>
      <c r="C321" s="5" t="s">
        <v>1172</v>
      </c>
      <c r="F321" s="4" t="s">
        <v>885</v>
      </c>
      <c r="G321" s="6" t="s">
        <v>1713</v>
      </c>
      <c r="H321" s="6" t="s">
        <v>849</v>
      </c>
      <c r="L321" s="21" t="s">
        <v>2703</v>
      </c>
      <c r="M321" s="10" t="s">
        <v>3752</v>
      </c>
      <c r="R321" s="10" t="s">
        <v>1713</v>
      </c>
      <c r="U321" s="5" t="s">
        <v>1713</v>
      </c>
    </row>
    <row r="322" spans="1:21" x14ac:dyDescent="0.2">
      <c r="A322" s="3">
        <v>321</v>
      </c>
      <c r="B322" s="5" t="s">
        <v>501</v>
      </c>
      <c r="C322" s="5" t="s">
        <v>1172</v>
      </c>
      <c r="F322" s="4" t="s">
        <v>886</v>
      </c>
      <c r="G322" s="6" t="s">
        <v>1713</v>
      </c>
      <c r="H322" s="6" t="s">
        <v>850</v>
      </c>
      <c r="L322" s="21" t="s">
        <v>2760</v>
      </c>
      <c r="M322" s="10" t="s">
        <v>3840</v>
      </c>
      <c r="Q322" s="21" t="s">
        <v>1098</v>
      </c>
      <c r="R322" s="10" t="s">
        <v>1098</v>
      </c>
      <c r="U322" s="5" t="s">
        <v>1098</v>
      </c>
    </row>
    <row r="323" spans="1:21" x14ac:dyDescent="0.2">
      <c r="A323" s="3">
        <v>322</v>
      </c>
      <c r="B323" s="5" t="s">
        <v>115</v>
      </c>
      <c r="C323" s="5" t="s">
        <v>1170</v>
      </c>
      <c r="D323" s="5" t="s">
        <v>1181</v>
      </c>
      <c r="G323" s="6" t="s">
        <v>1713</v>
      </c>
      <c r="H323" s="6" t="s">
        <v>851</v>
      </c>
      <c r="I323" s="11" t="s">
        <v>680</v>
      </c>
      <c r="J323" s="19" t="s">
        <v>645</v>
      </c>
      <c r="M323" s="10" t="s">
        <v>3721</v>
      </c>
      <c r="N323" s="9" t="s">
        <v>3170</v>
      </c>
      <c r="O323" s="12" t="s">
        <v>1686</v>
      </c>
      <c r="R323" s="10" t="s">
        <v>1713</v>
      </c>
      <c r="T323" s="12" t="s">
        <v>1713</v>
      </c>
      <c r="U323" s="5" t="s">
        <v>1713</v>
      </c>
    </row>
    <row r="324" spans="1:21" x14ac:dyDescent="0.2">
      <c r="A324" s="3">
        <v>323</v>
      </c>
      <c r="B324" s="5" t="s">
        <v>116</v>
      </c>
      <c r="C324" s="5" t="s">
        <v>1170</v>
      </c>
      <c r="D324" s="5" t="s">
        <v>1181</v>
      </c>
      <c r="G324" s="6" t="s">
        <v>1713</v>
      </c>
      <c r="H324" s="6" t="s">
        <v>852</v>
      </c>
      <c r="I324" s="11" t="s">
        <v>681</v>
      </c>
      <c r="J324" s="19" t="s">
        <v>646</v>
      </c>
      <c r="M324" s="10" t="s">
        <v>3721</v>
      </c>
      <c r="N324" s="9" t="s">
        <v>3222</v>
      </c>
      <c r="O324" s="12" t="s">
        <v>1804</v>
      </c>
      <c r="R324" s="10" t="s">
        <v>1758</v>
      </c>
      <c r="S324" s="9" t="s">
        <v>1758</v>
      </c>
      <c r="T324" s="12" t="s">
        <v>1758</v>
      </c>
      <c r="U324" s="5" t="s">
        <v>1758</v>
      </c>
    </row>
    <row r="325" spans="1:21" x14ac:dyDescent="0.2">
      <c r="A325" s="3">
        <v>324</v>
      </c>
      <c r="B325" s="5" t="s">
        <v>458</v>
      </c>
      <c r="C325" s="5" t="s">
        <v>1170</v>
      </c>
      <c r="F325" s="4" t="s">
        <v>829</v>
      </c>
      <c r="G325" s="6" t="s">
        <v>1713</v>
      </c>
      <c r="H325" s="6" t="s">
        <v>853</v>
      </c>
      <c r="I325" s="11" t="s">
        <v>679</v>
      </c>
      <c r="L325" s="21" t="s">
        <v>2742</v>
      </c>
      <c r="M325" s="10" t="s">
        <v>3707</v>
      </c>
      <c r="N325" s="9" t="s">
        <v>3221</v>
      </c>
      <c r="R325" s="10" t="s">
        <v>1713</v>
      </c>
      <c r="U325" s="5" t="s">
        <v>1713</v>
      </c>
    </row>
    <row r="326" spans="1:21" x14ac:dyDescent="0.2">
      <c r="A326" s="3">
        <v>325</v>
      </c>
      <c r="B326" s="5" t="s">
        <v>1342</v>
      </c>
      <c r="C326" s="5" t="s">
        <v>1206</v>
      </c>
      <c r="G326" s="6" t="s">
        <v>1713</v>
      </c>
      <c r="H326" s="6" t="s">
        <v>854</v>
      </c>
      <c r="I326" s="11" t="s">
        <v>640</v>
      </c>
      <c r="M326" s="10" t="s">
        <v>3753</v>
      </c>
      <c r="N326" s="9" t="s">
        <v>3188</v>
      </c>
      <c r="R326" s="10" t="s">
        <v>1713</v>
      </c>
      <c r="U326" s="5" t="s">
        <v>1713</v>
      </c>
    </row>
    <row r="327" spans="1:21" x14ac:dyDescent="0.2">
      <c r="A327" s="3">
        <v>326</v>
      </c>
      <c r="B327" s="5" t="s">
        <v>1343</v>
      </c>
      <c r="C327" s="5" t="s">
        <v>1206</v>
      </c>
      <c r="G327" s="6" t="s">
        <v>1713</v>
      </c>
      <c r="H327" s="6" t="s">
        <v>855</v>
      </c>
      <c r="I327" s="11" t="s">
        <v>641</v>
      </c>
      <c r="M327" s="10" t="s">
        <v>3550</v>
      </c>
      <c r="N327" s="9" t="s">
        <v>3189</v>
      </c>
      <c r="R327" s="10" t="s">
        <v>3063</v>
      </c>
      <c r="S327" s="9" t="s">
        <v>3063</v>
      </c>
      <c r="U327" s="5" t="s">
        <v>3063</v>
      </c>
    </row>
    <row r="328" spans="1:21" x14ac:dyDescent="0.2">
      <c r="A328" s="3">
        <v>327</v>
      </c>
      <c r="B328" s="5" t="s">
        <v>1344</v>
      </c>
      <c r="C328" s="5" t="s">
        <v>1174</v>
      </c>
      <c r="G328" s="6" t="s">
        <v>1713</v>
      </c>
      <c r="H328" s="6" t="s">
        <v>856</v>
      </c>
      <c r="M328" s="10" t="s">
        <v>3754</v>
      </c>
      <c r="R328" s="10" t="s">
        <v>1713</v>
      </c>
      <c r="U328" s="5" t="s">
        <v>1713</v>
      </c>
    </row>
    <row r="329" spans="1:21" x14ac:dyDescent="0.2">
      <c r="A329" s="3">
        <v>328</v>
      </c>
      <c r="B329" s="5" t="s">
        <v>474</v>
      </c>
      <c r="C329" s="5" t="s">
        <v>1181</v>
      </c>
      <c r="F329" s="4" t="s">
        <v>850</v>
      </c>
      <c r="G329" s="6" t="s">
        <v>1713</v>
      </c>
      <c r="H329" s="6" t="s">
        <v>857</v>
      </c>
      <c r="L329" s="21" t="s">
        <v>2749</v>
      </c>
      <c r="M329" s="10" t="s">
        <v>3721</v>
      </c>
      <c r="R329" s="10" t="s">
        <v>1713</v>
      </c>
      <c r="U329" s="5" t="s">
        <v>1713</v>
      </c>
    </row>
    <row r="330" spans="1:21" x14ac:dyDescent="0.2">
      <c r="A330" s="3">
        <v>329</v>
      </c>
      <c r="B330" s="5" t="s">
        <v>475</v>
      </c>
      <c r="C330" s="5" t="s">
        <v>1181</v>
      </c>
      <c r="D330" s="5" t="s">
        <v>1249</v>
      </c>
      <c r="F330" s="4" t="s">
        <v>851</v>
      </c>
      <c r="G330" s="6" t="s">
        <v>1713</v>
      </c>
      <c r="H330" s="6" t="s">
        <v>858</v>
      </c>
      <c r="L330" s="21" t="s">
        <v>3550</v>
      </c>
      <c r="M330" s="10" t="s">
        <v>3706</v>
      </c>
      <c r="Q330" s="21" t="s">
        <v>1088</v>
      </c>
      <c r="R330" s="10" t="s">
        <v>1088</v>
      </c>
      <c r="U330" s="5" t="s">
        <v>1088</v>
      </c>
    </row>
    <row r="331" spans="1:21" x14ac:dyDescent="0.2">
      <c r="A331" s="3">
        <v>330</v>
      </c>
      <c r="B331" s="5" t="s">
        <v>476</v>
      </c>
      <c r="C331" s="5" t="s">
        <v>1181</v>
      </c>
      <c r="D331" s="5" t="s">
        <v>1249</v>
      </c>
      <c r="F331" s="4" t="s">
        <v>852</v>
      </c>
      <c r="G331" s="6" t="s">
        <v>1713</v>
      </c>
      <c r="H331" s="6" t="s">
        <v>859</v>
      </c>
      <c r="L331" s="21" t="s">
        <v>2696</v>
      </c>
      <c r="M331" s="10" t="s">
        <v>3550</v>
      </c>
      <c r="Q331" s="21" t="s">
        <v>1089</v>
      </c>
      <c r="R331" s="10" t="s">
        <v>1089</v>
      </c>
      <c r="U331" s="5" t="s">
        <v>1089</v>
      </c>
    </row>
    <row r="332" spans="1:21" x14ac:dyDescent="0.2">
      <c r="A332" s="3">
        <v>331</v>
      </c>
      <c r="B332" s="5" t="s">
        <v>1345</v>
      </c>
      <c r="C332" s="5" t="s">
        <v>1168</v>
      </c>
      <c r="G332" s="6" t="s">
        <v>1713</v>
      </c>
      <c r="H332" s="6" t="s">
        <v>860</v>
      </c>
      <c r="I332" s="11" t="s">
        <v>781</v>
      </c>
      <c r="M332" s="10" t="s">
        <v>3706</v>
      </c>
      <c r="N332" s="9" t="s">
        <v>3289</v>
      </c>
      <c r="R332" s="10" t="s">
        <v>1713</v>
      </c>
      <c r="U332" s="5" t="s">
        <v>1713</v>
      </c>
    </row>
    <row r="333" spans="1:21" x14ac:dyDescent="0.2">
      <c r="A333" s="3">
        <v>332</v>
      </c>
      <c r="B333" s="5" t="s">
        <v>1346</v>
      </c>
      <c r="C333" s="5" t="s">
        <v>1168</v>
      </c>
      <c r="D333" s="5" t="s">
        <v>1270</v>
      </c>
      <c r="G333" s="6" t="s">
        <v>1713</v>
      </c>
      <c r="H333" s="6" t="s">
        <v>861</v>
      </c>
      <c r="I333" s="11" t="s">
        <v>782</v>
      </c>
      <c r="M333" s="10" t="s">
        <v>3706</v>
      </c>
      <c r="N333" s="9" t="s">
        <v>3294</v>
      </c>
      <c r="R333" s="10" t="s">
        <v>3025</v>
      </c>
      <c r="S333" s="9" t="s">
        <v>3025</v>
      </c>
      <c r="U333" s="5" t="s">
        <v>3025</v>
      </c>
    </row>
    <row r="334" spans="1:21" x14ac:dyDescent="0.2">
      <c r="A334" s="3">
        <v>333</v>
      </c>
      <c r="B334" s="5" t="s">
        <v>92</v>
      </c>
      <c r="C334" s="5" t="s">
        <v>1174</v>
      </c>
      <c r="D334" s="5" t="s">
        <v>1171</v>
      </c>
      <c r="G334" s="6" t="s">
        <v>1713</v>
      </c>
      <c r="H334" s="6" t="s">
        <v>862</v>
      </c>
      <c r="I334" s="11" t="s">
        <v>748</v>
      </c>
      <c r="J334" s="19" t="s">
        <v>622</v>
      </c>
      <c r="M334" s="10" t="s">
        <v>3708</v>
      </c>
      <c r="N334" s="9" t="s">
        <v>3170</v>
      </c>
      <c r="O334" s="12" t="s">
        <v>2399</v>
      </c>
      <c r="R334" s="10" t="s">
        <v>1713</v>
      </c>
      <c r="T334" s="12" t="s">
        <v>1713</v>
      </c>
      <c r="U334" s="5" t="s">
        <v>1713</v>
      </c>
    </row>
    <row r="335" spans="1:21" x14ac:dyDescent="0.2">
      <c r="A335" s="3">
        <v>334</v>
      </c>
      <c r="B335" s="5" t="s">
        <v>93</v>
      </c>
      <c r="C335" s="5" t="s">
        <v>1249</v>
      </c>
      <c r="D335" s="5" t="s">
        <v>1171</v>
      </c>
      <c r="G335" s="6" t="s">
        <v>1713</v>
      </c>
      <c r="H335" s="6" t="s">
        <v>863</v>
      </c>
      <c r="I335" s="11" t="s">
        <v>749</v>
      </c>
      <c r="J335" s="19" t="s">
        <v>623</v>
      </c>
      <c r="M335" s="10" t="s">
        <v>3550</v>
      </c>
      <c r="N335" s="9" t="s">
        <v>3237</v>
      </c>
      <c r="O335" s="12" t="s">
        <v>2400</v>
      </c>
      <c r="R335" s="10" t="s">
        <v>1756</v>
      </c>
      <c r="S335" s="9" t="s">
        <v>1756</v>
      </c>
      <c r="T335" s="12" t="s">
        <v>1756</v>
      </c>
      <c r="U335" s="5" t="s">
        <v>1756</v>
      </c>
    </row>
    <row r="336" spans="1:21" x14ac:dyDescent="0.2">
      <c r="A336" s="3">
        <v>335</v>
      </c>
      <c r="B336" s="5" t="s">
        <v>1347</v>
      </c>
      <c r="C336" s="5" t="s">
        <v>1174</v>
      </c>
      <c r="G336" s="6" t="s">
        <v>1713</v>
      </c>
      <c r="H336" s="6" t="s">
        <v>864</v>
      </c>
      <c r="I336" s="11" t="s">
        <v>746</v>
      </c>
      <c r="M336" s="10" t="s">
        <v>3803</v>
      </c>
      <c r="N336" s="9" t="s">
        <v>3270</v>
      </c>
      <c r="R336" s="10" t="s">
        <v>1713</v>
      </c>
      <c r="U336" s="5" t="s">
        <v>1713</v>
      </c>
    </row>
    <row r="337" spans="1:21" x14ac:dyDescent="0.2">
      <c r="A337" s="3">
        <v>336</v>
      </c>
      <c r="B337" s="5" t="s">
        <v>1348</v>
      </c>
      <c r="C337" s="5" t="s">
        <v>1169</v>
      </c>
      <c r="G337" s="6" t="s">
        <v>1713</v>
      </c>
      <c r="H337" s="6" t="s">
        <v>865</v>
      </c>
      <c r="I337" s="11" t="s">
        <v>747</v>
      </c>
      <c r="M337" s="10" t="s">
        <v>3789</v>
      </c>
      <c r="N337" s="9" t="s">
        <v>3271</v>
      </c>
      <c r="R337" s="10" t="s">
        <v>1713</v>
      </c>
      <c r="U337" s="5" t="s">
        <v>1713</v>
      </c>
    </row>
    <row r="338" spans="1:21" x14ac:dyDescent="0.2">
      <c r="A338" s="3">
        <v>337</v>
      </c>
      <c r="B338" s="5" t="s">
        <v>504</v>
      </c>
      <c r="C338" s="5" t="s">
        <v>1210</v>
      </c>
      <c r="D338" s="5" t="s">
        <v>1206</v>
      </c>
      <c r="F338" s="4" t="s">
        <v>891</v>
      </c>
      <c r="G338" s="6" t="s">
        <v>1713</v>
      </c>
      <c r="H338" s="6" t="s">
        <v>866</v>
      </c>
      <c r="L338" s="21" t="s">
        <v>2704</v>
      </c>
      <c r="M338" s="10" t="s">
        <v>3790</v>
      </c>
      <c r="R338" s="10" t="s">
        <v>1713</v>
      </c>
      <c r="U338" s="5" t="s">
        <v>1713</v>
      </c>
    </row>
    <row r="339" spans="1:21" x14ac:dyDescent="0.2">
      <c r="A339" s="3">
        <v>338</v>
      </c>
      <c r="B339" s="5" t="s">
        <v>505</v>
      </c>
      <c r="C339" s="5" t="s">
        <v>1210</v>
      </c>
      <c r="D339" s="5" t="s">
        <v>1206</v>
      </c>
      <c r="F339" s="4" t="s">
        <v>892</v>
      </c>
      <c r="G339" s="6" t="s">
        <v>1713</v>
      </c>
      <c r="H339" s="6" t="s">
        <v>867</v>
      </c>
      <c r="L339" s="21" t="s">
        <v>2705</v>
      </c>
      <c r="M339" s="10" t="s">
        <v>3804</v>
      </c>
      <c r="R339" s="10" t="s">
        <v>1713</v>
      </c>
      <c r="U339" s="5" t="s">
        <v>1713</v>
      </c>
    </row>
    <row r="340" spans="1:21" x14ac:dyDescent="0.2">
      <c r="A340" s="3">
        <v>339</v>
      </c>
      <c r="B340" s="5" t="s">
        <v>400</v>
      </c>
      <c r="C340" s="5" t="s">
        <v>1172</v>
      </c>
      <c r="D340" s="5" t="s">
        <v>1181</v>
      </c>
      <c r="F340" s="4" t="s">
        <v>757</v>
      </c>
      <c r="G340" s="6" t="s">
        <v>609</v>
      </c>
      <c r="H340" s="6" t="s">
        <v>868</v>
      </c>
      <c r="I340" s="11" t="s">
        <v>697</v>
      </c>
      <c r="L340" s="21" t="s">
        <v>2654</v>
      </c>
      <c r="M340" s="10" t="s">
        <v>3755</v>
      </c>
      <c r="N340" s="9" t="s">
        <v>3234</v>
      </c>
      <c r="R340" s="10" t="s">
        <v>1713</v>
      </c>
      <c r="U340" s="5" t="s">
        <v>1713</v>
      </c>
    </row>
    <row r="341" spans="1:21" x14ac:dyDescent="0.2">
      <c r="A341" s="3">
        <v>340</v>
      </c>
      <c r="B341" s="5" t="s">
        <v>401</v>
      </c>
      <c r="C341" s="5" t="s">
        <v>1172</v>
      </c>
      <c r="D341" s="5" t="s">
        <v>1181</v>
      </c>
      <c r="F341" s="4" t="s">
        <v>758</v>
      </c>
      <c r="G341" s="6" t="s">
        <v>610</v>
      </c>
      <c r="H341" s="6" t="s">
        <v>869</v>
      </c>
      <c r="I341" s="11" t="s">
        <v>698</v>
      </c>
      <c r="L341" s="21" t="s">
        <v>1133</v>
      </c>
      <c r="M341" s="10" t="s">
        <v>3756</v>
      </c>
      <c r="N341" s="9" t="s">
        <v>3235</v>
      </c>
      <c r="Q341" s="21" t="s">
        <v>1053</v>
      </c>
      <c r="R341" s="10" t="s">
        <v>1053</v>
      </c>
      <c r="S341" s="9" t="s">
        <v>1053</v>
      </c>
      <c r="U341" s="5" t="s">
        <v>1053</v>
      </c>
    </row>
    <row r="342" spans="1:21" x14ac:dyDescent="0.2">
      <c r="A342" s="3">
        <v>341</v>
      </c>
      <c r="B342" s="5" t="s">
        <v>317</v>
      </c>
      <c r="C342" s="5" t="s">
        <v>1172</v>
      </c>
      <c r="F342" s="4" t="s">
        <v>631</v>
      </c>
      <c r="G342" s="6" t="s">
        <v>1713</v>
      </c>
      <c r="H342" s="6" t="s">
        <v>870</v>
      </c>
      <c r="L342" s="21" t="s">
        <v>2584</v>
      </c>
      <c r="M342" s="10" t="s">
        <v>3710</v>
      </c>
      <c r="R342" s="10" t="s">
        <v>1713</v>
      </c>
      <c r="U342" s="5" t="s">
        <v>1713</v>
      </c>
    </row>
    <row r="343" spans="1:21" x14ac:dyDescent="0.2">
      <c r="A343" s="3">
        <v>342</v>
      </c>
      <c r="B343" s="5" t="s">
        <v>318</v>
      </c>
      <c r="C343" s="5" t="s">
        <v>1172</v>
      </c>
      <c r="D343" s="5" t="s">
        <v>1270</v>
      </c>
      <c r="F343" s="4" t="s">
        <v>632</v>
      </c>
      <c r="G343" s="6" t="s">
        <v>1713</v>
      </c>
      <c r="H343" s="6" t="s">
        <v>871</v>
      </c>
      <c r="L343" s="21" t="s">
        <v>2585</v>
      </c>
      <c r="M343" s="10" t="s">
        <v>3710</v>
      </c>
      <c r="Q343" s="21" t="s">
        <v>1000</v>
      </c>
      <c r="R343" s="10" t="s">
        <v>1000</v>
      </c>
      <c r="U343" s="5" t="s">
        <v>1000</v>
      </c>
    </row>
    <row r="344" spans="1:21" x14ac:dyDescent="0.2">
      <c r="A344" s="3">
        <v>343</v>
      </c>
      <c r="B344" s="5" t="s">
        <v>299</v>
      </c>
      <c r="C344" s="5" t="s">
        <v>1181</v>
      </c>
      <c r="D344" s="5" t="s">
        <v>1206</v>
      </c>
      <c r="F344" s="4" t="s">
        <v>611</v>
      </c>
      <c r="G344" s="6" t="s">
        <v>1713</v>
      </c>
      <c r="H344" s="6" t="s">
        <v>872</v>
      </c>
      <c r="L344" s="21" t="s">
        <v>2567</v>
      </c>
      <c r="M344" s="10" t="s">
        <v>3721</v>
      </c>
      <c r="R344" s="10" t="s">
        <v>1713</v>
      </c>
      <c r="U344" s="5" t="s">
        <v>1713</v>
      </c>
    </row>
    <row r="345" spans="1:21" x14ac:dyDescent="0.2">
      <c r="A345" s="3">
        <v>344</v>
      </c>
      <c r="B345" s="5" t="s">
        <v>300</v>
      </c>
      <c r="C345" s="5" t="s">
        <v>1181</v>
      </c>
      <c r="D345" s="5" t="s">
        <v>1206</v>
      </c>
      <c r="F345" s="4" t="s">
        <v>612</v>
      </c>
      <c r="G345" s="6" t="s">
        <v>1713</v>
      </c>
      <c r="H345" s="6" t="s">
        <v>873</v>
      </c>
      <c r="L345" s="21" t="s">
        <v>2568</v>
      </c>
      <c r="M345" s="10" t="s">
        <v>3550</v>
      </c>
      <c r="Q345" s="21" t="s">
        <v>990</v>
      </c>
      <c r="R345" s="10" t="s">
        <v>990</v>
      </c>
      <c r="U345" s="5" t="s">
        <v>990</v>
      </c>
    </row>
    <row r="346" spans="1:21" x14ac:dyDescent="0.2">
      <c r="A346" s="3">
        <v>345</v>
      </c>
      <c r="B346" s="5" t="s">
        <v>1349</v>
      </c>
      <c r="C346" s="5" t="s">
        <v>1210</v>
      </c>
      <c r="D346" s="5" t="s">
        <v>1168</v>
      </c>
      <c r="G346" s="6" t="s">
        <v>1713</v>
      </c>
      <c r="H346" s="6" t="s">
        <v>874</v>
      </c>
      <c r="M346" s="10" t="s">
        <v>3704</v>
      </c>
      <c r="R346" s="10" t="s">
        <v>1713</v>
      </c>
      <c r="U346" s="5" t="s">
        <v>1713</v>
      </c>
    </row>
    <row r="347" spans="1:21" x14ac:dyDescent="0.2">
      <c r="A347" s="3">
        <v>346</v>
      </c>
      <c r="B347" s="5" t="s">
        <v>1350</v>
      </c>
      <c r="C347" s="5" t="s">
        <v>1210</v>
      </c>
      <c r="D347" s="5" t="s">
        <v>1168</v>
      </c>
      <c r="G347" s="6" t="s">
        <v>1713</v>
      </c>
      <c r="H347" s="6" t="s">
        <v>875</v>
      </c>
      <c r="M347" s="10" t="s">
        <v>3550</v>
      </c>
      <c r="R347" s="10" t="s">
        <v>3596</v>
      </c>
      <c r="U347" s="5" t="s">
        <v>3596</v>
      </c>
    </row>
    <row r="348" spans="1:21" x14ac:dyDescent="0.2">
      <c r="A348" s="3">
        <v>347</v>
      </c>
      <c r="B348" s="5" t="s">
        <v>1351</v>
      </c>
      <c r="C348" s="5" t="s">
        <v>1210</v>
      </c>
      <c r="D348" s="5" t="s">
        <v>1173</v>
      </c>
      <c r="G348" s="6" t="s">
        <v>1713</v>
      </c>
      <c r="H348" s="6" t="s">
        <v>876</v>
      </c>
      <c r="M348" s="10" t="s">
        <v>3705</v>
      </c>
      <c r="R348" s="10" t="s">
        <v>1713</v>
      </c>
      <c r="U348" s="5" t="s">
        <v>1713</v>
      </c>
    </row>
    <row r="349" spans="1:21" x14ac:dyDescent="0.2">
      <c r="A349" s="3">
        <v>348</v>
      </c>
      <c r="B349" s="5" t="s">
        <v>1352</v>
      </c>
      <c r="C349" s="5" t="s">
        <v>1210</v>
      </c>
      <c r="D349" s="5" t="s">
        <v>1173</v>
      </c>
      <c r="G349" s="6" t="s">
        <v>1713</v>
      </c>
      <c r="H349" s="6" t="s">
        <v>877</v>
      </c>
      <c r="M349" s="10" t="s">
        <v>3550</v>
      </c>
      <c r="R349" s="10" t="s">
        <v>3597</v>
      </c>
      <c r="U349" s="5" t="s">
        <v>3597</v>
      </c>
    </row>
    <row r="350" spans="1:21" x14ac:dyDescent="0.2">
      <c r="A350" s="3">
        <v>349</v>
      </c>
      <c r="B350" s="5" t="s">
        <v>355</v>
      </c>
      <c r="C350" s="5" t="s">
        <v>1172</v>
      </c>
      <c r="F350" s="4" t="s">
        <v>681</v>
      </c>
      <c r="G350" s="6" t="s">
        <v>667</v>
      </c>
      <c r="H350" s="6" t="s">
        <v>878</v>
      </c>
      <c r="L350" s="21" t="s">
        <v>2618</v>
      </c>
      <c r="M350" s="10" t="s">
        <v>3757</v>
      </c>
      <c r="R350" s="10" t="s">
        <v>1713</v>
      </c>
      <c r="U350" s="5" t="s">
        <v>1713</v>
      </c>
    </row>
    <row r="351" spans="1:21" x14ac:dyDescent="0.2">
      <c r="A351" s="3">
        <v>350</v>
      </c>
      <c r="B351" s="5" t="s">
        <v>356</v>
      </c>
      <c r="C351" s="5" t="s">
        <v>1172</v>
      </c>
      <c r="F351" s="4" t="s">
        <v>682</v>
      </c>
      <c r="G351" s="6" t="s">
        <v>668</v>
      </c>
      <c r="H351" s="6" t="s">
        <v>879</v>
      </c>
      <c r="L351" s="21" t="s">
        <v>2619</v>
      </c>
      <c r="M351" s="10" t="s">
        <v>3550</v>
      </c>
      <c r="Q351" s="21" t="s">
        <v>1023</v>
      </c>
      <c r="R351" s="10" t="s">
        <v>1023</v>
      </c>
      <c r="U351" s="5" t="s">
        <v>1023</v>
      </c>
    </row>
    <row r="352" spans="1:21" x14ac:dyDescent="0.2">
      <c r="A352" s="3">
        <v>351</v>
      </c>
      <c r="B352" s="5" t="s">
        <v>1353</v>
      </c>
      <c r="C352" s="5" t="s">
        <v>1174</v>
      </c>
      <c r="G352" s="6" t="s">
        <v>1713</v>
      </c>
      <c r="H352" s="6" t="s">
        <v>880</v>
      </c>
      <c r="M352" s="10" t="s">
        <v>3711</v>
      </c>
      <c r="R352" s="10" t="s">
        <v>1713</v>
      </c>
      <c r="U352" s="5" t="s">
        <v>1713</v>
      </c>
    </row>
    <row r="353" spans="1:21" x14ac:dyDescent="0.2">
      <c r="A353" s="3">
        <v>352</v>
      </c>
      <c r="B353" s="5" t="s">
        <v>1354</v>
      </c>
      <c r="C353" s="5" t="s">
        <v>1174</v>
      </c>
      <c r="G353" s="6" t="s">
        <v>1713</v>
      </c>
      <c r="H353" s="6" t="s">
        <v>881</v>
      </c>
      <c r="M353" s="10" t="s">
        <v>3803</v>
      </c>
      <c r="R353" s="10" t="s">
        <v>1713</v>
      </c>
      <c r="U353" s="5" t="s">
        <v>1713</v>
      </c>
    </row>
    <row r="354" spans="1:21" x14ac:dyDescent="0.2">
      <c r="A354" s="3">
        <v>353</v>
      </c>
      <c r="B354" s="5" t="s">
        <v>110</v>
      </c>
      <c r="C354" s="5" t="s">
        <v>1223</v>
      </c>
      <c r="G354" s="6" t="s">
        <v>1713</v>
      </c>
      <c r="H354" s="6" t="s">
        <v>882</v>
      </c>
      <c r="I354" s="11" t="s">
        <v>827</v>
      </c>
      <c r="J354" s="19" t="s">
        <v>640</v>
      </c>
      <c r="M354" s="10" t="s">
        <v>3550</v>
      </c>
      <c r="N354" s="9" t="s">
        <v>3317</v>
      </c>
      <c r="O354" s="12" t="s">
        <v>2411</v>
      </c>
      <c r="R354" s="10" t="s">
        <v>3558</v>
      </c>
      <c r="T354" s="12" t="s">
        <v>1713</v>
      </c>
      <c r="U354" s="5" t="s">
        <v>3558</v>
      </c>
    </row>
    <row r="355" spans="1:21" x14ac:dyDescent="0.2">
      <c r="A355" s="3">
        <v>354</v>
      </c>
      <c r="B355" s="5" t="s">
        <v>111</v>
      </c>
      <c r="C355" s="5" t="s">
        <v>1223</v>
      </c>
      <c r="G355" s="6" t="s">
        <v>1713</v>
      </c>
      <c r="H355" s="6" t="s">
        <v>883</v>
      </c>
      <c r="I355" s="11" t="s">
        <v>828</v>
      </c>
      <c r="J355" s="19" t="s">
        <v>641</v>
      </c>
      <c r="M355" s="10" t="s">
        <v>3719</v>
      </c>
      <c r="N355" s="9" t="s">
        <v>3318</v>
      </c>
      <c r="O355" s="12" t="s">
        <v>1804</v>
      </c>
      <c r="R355" s="10" t="s">
        <v>1757</v>
      </c>
      <c r="S355" s="9" t="s">
        <v>1757</v>
      </c>
      <c r="T355" s="12" t="s">
        <v>1757</v>
      </c>
      <c r="U355" s="5" t="s">
        <v>1757</v>
      </c>
    </row>
    <row r="356" spans="1:21" x14ac:dyDescent="0.2">
      <c r="A356" s="3">
        <v>355</v>
      </c>
      <c r="B356" s="5" t="s">
        <v>346</v>
      </c>
      <c r="C356" s="5" t="s">
        <v>1223</v>
      </c>
      <c r="F356" s="4" t="s">
        <v>664</v>
      </c>
      <c r="G356" s="6" t="s">
        <v>1713</v>
      </c>
      <c r="H356" s="6" t="s">
        <v>884</v>
      </c>
      <c r="L356" s="21" t="s">
        <v>2607</v>
      </c>
      <c r="M356" s="10" t="s">
        <v>3719</v>
      </c>
      <c r="R356" s="10" t="s">
        <v>1713</v>
      </c>
      <c r="U356" s="5" t="s">
        <v>1713</v>
      </c>
    </row>
    <row r="357" spans="1:21" x14ac:dyDescent="0.2">
      <c r="A357" s="3">
        <v>356</v>
      </c>
      <c r="B357" s="5" t="s">
        <v>347</v>
      </c>
      <c r="C357" s="5" t="s">
        <v>1223</v>
      </c>
      <c r="F357" s="4" t="s">
        <v>665</v>
      </c>
      <c r="G357" s="6" t="s">
        <v>1713</v>
      </c>
      <c r="H357" s="6" t="s">
        <v>885</v>
      </c>
      <c r="L357" s="21" t="s">
        <v>2543</v>
      </c>
      <c r="M357" s="10" t="s">
        <v>3719</v>
      </c>
      <c r="Q357" s="21" t="s">
        <v>1013</v>
      </c>
      <c r="R357" s="10" t="s">
        <v>1013</v>
      </c>
      <c r="U357" s="5" t="s">
        <v>1013</v>
      </c>
    </row>
    <row r="358" spans="1:21" x14ac:dyDescent="0.2">
      <c r="A358" s="3">
        <v>357</v>
      </c>
      <c r="B358" s="5" t="s">
        <v>1355</v>
      </c>
      <c r="C358" s="5" t="s">
        <v>1168</v>
      </c>
      <c r="D358" s="5" t="s">
        <v>1171</v>
      </c>
      <c r="G358" s="6" t="s">
        <v>1713</v>
      </c>
      <c r="H358" s="6" t="s">
        <v>886</v>
      </c>
      <c r="I358" s="11" t="s">
        <v>775</v>
      </c>
      <c r="M358" s="10" t="s">
        <v>3706</v>
      </c>
      <c r="N358" s="9" t="s">
        <v>3292</v>
      </c>
      <c r="R358" s="10" t="s">
        <v>1713</v>
      </c>
      <c r="U358" s="5" t="s">
        <v>1713</v>
      </c>
    </row>
    <row r="359" spans="1:21" x14ac:dyDescent="0.2">
      <c r="A359" s="3">
        <v>358</v>
      </c>
      <c r="B359" s="5" t="s">
        <v>1356</v>
      </c>
      <c r="C359" s="5" t="s">
        <v>1206</v>
      </c>
      <c r="G359" s="6" t="s">
        <v>612</v>
      </c>
      <c r="H359" s="6" t="s">
        <v>887</v>
      </c>
      <c r="M359" s="10" t="s">
        <v>3841</v>
      </c>
      <c r="R359" s="10" t="s">
        <v>3573</v>
      </c>
      <c r="U359" s="5" t="s">
        <v>3573</v>
      </c>
    </row>
    <row r="360" spans="1:21" x14ac:dyDescent="0.2">
      <c r="A360" s="3">
        <v>359</v>
      </c>
      <c r="B360" s="5" t="s">
        <v>133</v>
      </c>
      <c r="C360" s="5" t="s">
        <v>1270</v>
      </c>
      <c r="G360" s="6" t="s">
        <v>1713</v>
      </c>
      <c r="H360" s="6" t="s">
        <v>888</v>
      </c>
      <c r="J360" s="19" t="s">
        <v>663</v>
      </c>
      <c r="M360" s="10" t="s">
        <v>3842</v>
      </c>
      <c r="O360" s="12" t="s">
        <v>1796</v>
      </c>
      <c r="R360" s="10" t="s">
        <v>1713</v>
      </c>
      <c r="T360" s="12" t="s">
        <v>1713</v>
      </c>
      <c r="U360" s="5" t="s">
        <v>1713</v>
      </c>
    </row>
    <row r="361" spans="1:21" x14ac:dyDescent="0.2">
      <c r="A361" s="3">
        <v>360</v>
      </c>
      <c r="B361" s="5" t="s">
        <v>392</v>
      </c>
      <c r="C361" s="5" t="s">
        <v>1206</v>
      </c>
      <c r="F361" s="4" t="s">
        <v>745</v>
      </c>
      <c r="G361" s="6" t="s">
        <v>1713</v>
      </c>
      <c r="H361" s="6" t="s">
        <v>889</v>
      </c>
      <c r="L361" s="21" t="s">
        <v>2506</v>
      </c>
      <c r="M361" s="10" t="s">
        <v>3550</v>
      </c>
      <c r="Q361" s="21" t="s">
        <v>2501</v>
      </c>
      <c r="R361" s="10" t="s">
        <v>3559</v>
      </c>
      <c r="U361" s="5" t="s">
        <v>3559</v>
      </c>
    </row>
    <row r="362" spans="1:21" x14ac:dyDescent="0.2">
      <c r="A362" s="3">
        <v>361</v>
      </c>
      <c r="B362" s="5" t="s">
        <v>168</v>
      </c>
      <c r="C362" s="5" t="s">
        <v>1220</v>
      </c>
      <c r="F362" s="4" t="s">
        <v>608</v>
      </c>
      <c r="G362" s="6" t="s">
        <v>1713</v>
      </c>
      <c r="H362" s="6" t="s">
        <v>890</v>
      </c>
      <c r="I362" s="11" t="s">
        <v>886</v>
      </c>
      <c r="J362" s="19" t="s">
        <v>698</v>
      </c>
      <c r="L362" s="21" t="s">
        <v>2565</v>
      </c>
      <c r="M362" s="10" t="s">
        <v>3843</v>
      </c>
      <c r="N362" s="9" t="s">
        <v>3360</v>
      </c>
      <c r="O362" s="12" t="s">
        <v>1692</v>
      </c>
      <c r="R362" s="10" t="s">
        <v>1713</v>
      </c>
      <c r="T362" s="12" t="s">
        <v>1713</v>
      </c>
      <c r="U362" s="5" t="s">
        <v>1713</v>
      </c>
    </row>
    <row r="363" spans="1:21" x14ac:dyDescent="0.2">
      <c r="A363" s="3">
        <v>362</v>
      </c>
      <c r="B363" s="5" t="s">
        <v>169</v>
      </c>
      <c r="C363" s="5" t="s">
        <v>1220</v>
      </c>
      <c r="F363" s="4" t="s">
        <v>609</v>
      </c>
      <c r="G363" s="6" t="s">
        <v>1713</v>
      </c>
      <c r="H363" s="6" t="s">
        <v>891</v>
      </c>
      <c r="I363" s="11" t="s">
        <v>887</v>
      </c>
      <c r="J363" s="19" t="s">
        <v>699</v>
      </c>
      <c r="L363" s="21" t="s">
        <v>3550</v>
      </c>
      <c r="M363" s="10" t="s">
        <v>3843</v>
      </c>
      <c r="N363" s="9" t="s">
        <v>3359</v>
      </c>
      <c r="O363" s="12" t="s">
        <v>1804</v>
      </c>
      <c r="Q363" s="21" t="s">
        <v>989</v>
      </c>
      <c r="R363" s="10" t="s">
        <v>989</v>
      </c>
      <c r="S363" s="9" t="s">
        <v>989</v>
      </c>
      <c r="T363" s="12" t="s">
        <v>989</v>
      </c>
      <c r="U363" s="5" t="s">
        <v>989</v>
      </c>
    </row>
    <row r="364" spans="1:21" x14ac:dyDescent="0.2">
      <c r="A364" s="3">
        <v>363</v>
      </c>
      <c r="B364" s="5" t="s">
        <v>1357</v>
      </c>
      <c r="C364" s="5" t="s">
        <v>1220</v>
      </c>
      <c r="D364" s="5" t="s">
        <v>1172</v>
      </c>
      <c r="G364" s="6" t="s">
        <v>1713</v>
      </c>
      <c r="H364" s="6" t="s">
        <v>892</v>
      </c>
      <c r="M364" s="10" t="s">
        <v>3791</v>
      </c>
      <c r="R364" s="10" t="s">
        <v>1713</v>
      </c>
      <c r="U364" s="5" t="s">
        <v>1713</v>
      </c>
    </row>
    <row r="365" spans="1:21" x14ac:dyDescent="0.2">
      <c r="A365" s="3">
        <v>364</v>
      </c>
      <c r="B365" s="5" t="s">
        <v>1358</v>
      </c>
      <c r="C365" s="5" t="s">
        <v>1220</v>
      </c>
      <c r="D365" s="5" t="s">
        <v>1172</v>
      </c>
      <c r="G365" s="6" t="s">
        <v>1713</v>
      </c>
      <c r="H365" s="6" t="s">
        <v>893</v>
      </c>
      <c r="M365" s="10" t="s">
        <v>3791</v>
      </c>
      <c r="R365" s="10" t="s">
        <v>3598</v>
      </c>
      <c r="U365" s="5" t="s">
        <v>3598</v>
      </c>
    </row>
    <row r="366" spans="1:21" x14ac:dyDescent="0.2">
      <c r="A366" s="3">
        <v>365</v>
      </c>
      <c r="B366" s="5" t="s">
        <v>1359</v>
      </c>
      <c r="C366" s="5" t="s">
        <v>1220</v>
      </c>
      <c r="D366" s="5" t="s">
        <v>1172</v>
      </c>
      <c r="G366" s="6" t="s">
        <v>1713</v>
      </c>
      <c r="H366" s="6" t="s">
        <v>894</v>
      </c>
      <c r="M366" s="10" t="s">
        <v>3741</v>
      </c>
      <c r="R366" s="10" t="s">
        <v>3599</v>
      </c>
      <c r="U366" s="5" t="s">
        <v>3599</v>
      </c>
    </row>
    <row r="367" spans="1:21" x14ac:dyDescent="0.2">
      <c r="A367" s="3">
        <v>366</v>
      </c>
      <c r="B367" s="5" t="s">
        <v>1360</v>
      </c>
      <c r="C367" s="5" t="s">
        <v>1172</v>
      </c>
      <c r="G367" s="6" t="s">
        <v>1713</v>
      </c>
      <c r="H367" s="6" t="s">
        <v>895</v>
      </c>
      <c r="M367" s="10" t="s">
        <v>3708</v>
      </c>
      <c r="R367" s="10" t="s">
        <v>1713</v>
      </c>
      <c r="U367" s="5" t="s">
        <v>1713</v>
      </c>
    </row>
    <row r="368" spans="1:21" x14ac:dyDescent="0.2">
      <c r="A368" s="3">
        <v>367</v>
      </c>
      <c r="B368" s="5" t="s">
        <v>1361</v>
      </c>
      <c r="C368" s="5" t="s">
        <v>1172</v>
      </c>
      <c r="G368" s="6" t="s">
        <v>1713</v>
      </c>
      <c r="H368" s="6" t="s">
        <v>896</v>
      </c>
      <c r="M368" s="10" t="s">
        <v>3550</v>
      </c>
      <c r="R368" s="10" t="s">
        <v>3600</v>
      </c>
      <c r="U368" s="5" t="s">
        <v>3600</v>
      </c>
    </row>
    <row r="369" spans="1:21" x14ac:dyDescent="0.2">
      <c r="A369" s="3">
        <v>368</v>
      </c>
      <c r="B369" s="5" t="s">
        <v>1362</v>
      </c>
      <c r="C369" s="5" t="s">
        <v>1172</v>
      </c>
      <c r="G369" s="6" t="s">
        <v>1713</v>
      </c>
      <c r="H369" s="6" t="s">
        <v>897</v>
      </c>
      <c r="M369" s="10" t="s">
        <v>3550</v>
      </c>
      <c r="R369" s="10" t="s">
        <v>3601</v>
      </c>
      <c r="U369" s="5" t="s">
        <v>3601</v>
      </c>
    </row>
    <row r="370" spans="1:21" x14ac:dyDescent="0.2">
      <c r="A370" s="3">
        <v>369</v>
      </c>
      <c r="B370" s="5" t="s">
        <v>1363</v>
      </c>
      <c r="C370" s="5" t="s">
        <v>1172</v>
      </c>
      <c r="D370" s="5" t="s">
        <v>1210</v>
      </c>
      <c r="G370" s="6" t="s">
        <v>1713</v>
      </c>
      <c r="H370" s="6" t="s">
        <v>898</v>
      </c>
      <c r="M370" s="10" t="s">
        <v>3844</v>
      </c>
      <c r="R370" s="10" t="s">
        <v>1713</v>
      </c>
      <c r="U370" s="5" t="s">
        <v>1713</v>
      </c>
    </row>
    <row r="371" spans="1:21" x14ac:dyDescent="0.2">
      <c r="A371" s="3">
        <v>370</v>
      </c>
      <c r="B371" s="5" t="s">
        <v>1364</v>
      </c>
      <c r="C371" s="5" t="s">
        <v>1172</v>
      </c>
      <c r="G371" s="6" t="s">
        <v>1713</v>
      </c>
      <c r="H371" s="6" t="s">
        <v>899</v>
      </c>
      <c r="I371" s="11" t="s">
        <v>861</v>
      </c>
      <c r="M371" s="10" t="s">
        <v>3845</v>
      </c>
      <c r="N371" s="9" t="s">
        <v>3341</v>
      </c>
      <c r="R371" s="10" t="s">
        <v>1713</v>
      </c>
      <c r="U371" s="5" t="s">
        <v>1713</v>
      </c>
    </row>
    <row r="372" spans="1:21" x14ac:dyDescent="0.2">
      <c r="A372" s="3">
        <v>371</v>
      </c>
      <c r="B372" s="5" t="s">
        <v>219</v>
      </c>
      <c r="C372" s="5" t="s">
        <v>1249</v>
      </c>
      <c r="G372" s="6" t="s">
        <v>1713</v>
      </c>
      <c r="H372" s="6" t="s">
        <v>900</v>
      </c>
      <c r="I372" s="11" t="s">
        <v>805</v>
      </c>
      <c r="J372" s="19" t="s">
        <v>749</v>
      </c>
      <c r="M372" s="10" t="s">
        <v>3785</v>
      </c>
      <c r="N372" s="9" t="s">
        <v>3303</v>
      </c>
      <c r="O372" s="12" t="s">
        <v>1695</v>
      </c>
      <c r="R372" s="10" t="s">
        <v>1713</v>
      </c>
      <c r="T372" s="12" t="s">
        <v>1713</v>
      </c>
      <c r="U372" s="5" t="s">
        <v>1713</v>
      </c>
    </row>
    <row r="373" spans="1:21" x14ac:dyDescent="0.2">
      <c r="A373" s="3">
        <v>372</v>
      </c>
      <c r="B373" s="5" t="s">
        <v>220</v>
      </c>
      <c r="C373" s="5" t="s">
        <v>1249</v>
      </c>
      <c r="G373" s="6" t="s">
        <v>1713</v>
      </c>
      <c r="H373" s="6" t="s">
        <v>901</v>
      </c>
      <c r="I373" s="11" t="s">
        <v>806</v>
      </c>
      <c r="J373" s="19" t="s">
        <v>750</v>
      </c>
      <c r="M373" s="10" t="s">
        <v>3785</v>
      </c>
      <c r="N373" s="9" t="s">
        <v>3304</v>
      </c>
      <c r="O373" s="12" t="s">
        <v>1804</v>
      </c>
      <c r="R373" s="10" t="s">
        <v>1785</v>
      </c>
      <c r="S373" s="9" t="s">
        <v>1785</v>
      </c>
      <c r="T373" s="12" t="s">
        <v>1785</v>
      </c>
      <c r="U373" s="5" t="s">
        <v>1785</v>
      </c>
    </row>
    <row r="374" spans="1:21" x14ac:dyDescent="0.2">
      <c r="A374" s="3">
        <v>373</v>
      </c>
      <c r="B374" s="5" t="s">
        <v>221</v>
      </c>
      <c r="C374" s="5" t="s">
        <v>1249</v>
      </c>
      <c r="D374" s="5" t="s">
        <v>1171</v>
      </c>
      <c r="G374" s="6" t="s">
        <v>1713</v>
      </c>
      <c r="H374" s="6" t="s">
        <v>902</v>
      </c>
      <c r="I374" s="11" t="s">
        <v>807</v>
      </c>
      <c r="J374" s="19" t="s">
        <v>751</v>
      </c>
      <c r="M374" s="10" t="s">
        <v>3550</v>
      </c>
      <c r="N374" s="9" t="s">
        <v>3550</v>
      </c>
      <c r="O374" s="12" t="s">
        <v>1804</v>
      </c>
      <c r="R374" s="10" t="s">
        <v>3087</v>
      </c>
      <c r="S374" s="9" t="s">
        <v>3087</v>
      </c>
      <c r="T374" s="12" t="s">
        <v>3087</v>
      </c>
      <c r="U374" s="5" t="s">
        <v>3087</v>
      </c>
    </row>
    <row r="375" spans="1:21" x14ac:dyDescent="0.2">
      <c r="A375" s="3">
        <v>374</v>
      </c>
      <c r="B375" s="5" t="s">
        <v>224</v>
      </c>
      <c r="C375" s="5" t="s">
        <v>1214</v>
      </c>
      <c r="D375" s="5" t="s">
        <v>1206</v>
      </c>
      <c r="G375" s="6" t="s">
        <v>1713</v>
      </c>
      <c r="H375" s="6" t="s">
        <v>903</v>
      </c>
      <c r="J375" s="19" t="s">
        <v>754</v>
      </c>
      <c r="M375" s="10" t="s">
        <v>3721</v>
      </c>
      <c r="O375" s="12" t="s">
        <v>1699</v>
      </c>
      <c r="R375" s="10" t="s">
        <v>1713</v>
      </c>
      <c r="T375" s="12" t="s">
        <v>1713</v>
      </c>
      <c r="U375" s="5" t="s">
        <v>1713</v>
      </c>
    </row>
    <row r="376" spans="1:21" x14ac:dyDescent="0.2">
      <c r="A376" s="3">
        <v>375</v>
      </c>
      <c r="B376" s="5" t="s">
        <v>225</v>
      </c>
      <c r="C376" s="5" t="s">
        <v>1214</v>
      </c>
      <c r="D376" s="5" t="s">
        <v>1206</v>
      </c>
      <c r="G376" s="6" t="s">
        <v>1713</v>
      </c>
      <c r="H376" s="6" t="s">
        <v>904</v>
      </c>
      <c r="J376" s="19" t="s">
        <v>755</v>
      </c>
      <c r="M376" s="10" t="s">
        <v>3550</v>
      </c>
      <c r="O376" s="12" t="s">
        <v>1699</v>
      </c>
      <c r="R376" s="10" t="s">
        <v>1787</v>
      </c>
      <c r="T376" s="12" t="s">
        <v>1787</v>
      </c>
      <c r="U376" s="5" t="s">
        <v>1787</v>
      </c>
    </row>
    <row r="377" spans="1:21" x14ac:dyDescent="0.2">
      <c r="A377" s="3">
        <v>376</v>
      </c>
      <c r="B377" s="5" t="s">
        <v>226</v>
      </c>
      <c r="C377" s="5" t="s">
        <v>1214</v>
      </c>
      <c r="D377" s="5" t="s">
        <v>1206</v>
      </c>
      <c r="G377" s="6" t="s">
        <v>1713</v>
      </c>
      <c r="H377" s="6" t="s">
        <v>905</v>
      </c>
      <c r="J377" s="19" t="s">
        <v>756</v>
      </c>
      <c r="M377" s="10" t="s">
        <v>3550</v>
      </c>
      <c r="O377" s="12" t="s">
        <v>1804</v>
      </c>
      <c r="R377" s="10" t="s">
        <v>1788</v>
      </c>
      <c r="T377" s="12" t="s">
        <v>1788</v>
      </c>
      <c r="U377" s="5" t="s">
        <v>1788</v>
      </c>
    </row>
    <row r="378" spans="1:21" x14ac:dyDescent="0.2">
      <c r="A378" s="3">
        <v>377</v>
      </c>
      <c r="B378" s="5" t="s">
        <v>1365</v>
      </c>
      <c r="C378" s="5" t="s">
        <v>1210</v>
      </c>
      <c r="G378" s="6" t="s">
        <v>1713</v>
      </c>
      <c r="H378" s="6" t="s">
        <v>906</v>
      </c>
      <c r="M378" s="10" t="s">
        <v>3758</v>
      </c>
      <c r="R378" s="10" t="s">
        <v>1713</v>
      </c>
      <c r="U378" s="5" t="s">
        <v>1713</v>
      </c>
    </row>
    <row r="379" spans="1:21" x14ac:dyDescent="0.2">
      <c r="A379" s="3">
        <v>378</v>
      </c>
      <c r="B379" s="5" t="s">
        <v>1366</v>
      </c>
      <c r="C379" s="5" t="s">
        <v>1220</v>
      </c>
      <c r="G379" s="6" t="s">
        <v>1713</v>
      </c>
      <c r="H379" s="6" t="s">
        <v>907</v>
      </c>
      <c r="M379" s="10" t="s">
        <v>3758</v>
      </c>
      <c r="R379" s="10" t="s">
        <v>1713</v>
      </c>
      <c r="U379" s="5" t="s">
        <v>1713</v>
      </c>
    </row>
    <row r="380" spans="1:21" x14ac:dyDescent="0.2">
      <c r="A380" s="3">
        <v>379</v>
      </c>
      <c r="B380" s="5" t="s">
        <v>1367</v>
      </c>
      <c r="C380" s="5" t="s">
        <v>1214</v>
      </c>
      <c r="G380" s="6" t="s">
        <v>1713</v>
      </c>
      <c r="H380" s="6" t="s">
        <v>908</v>
      </c>
      <c r="M380" s="10" t="s">
        <v>3758</v>
      </c>
      <c r="R380" s="10" t="s">
        <v>1713</v>
      </c>
      <c r="U380" s="5" t="s">
        <v>1713</v>
      </c>
    </row>
    <row r="381" spans="1:21" x14ac:dyDescent="0.2">
      <c r="A381" s="3">
        <v>380</v>
      </c>
      <c r="B381" s="5" t="s">
        <v>1368</v>
      </c>
      <c r="C381" s="5" t="s">
        <v>1249</v>
      </c>
      <c r="D381" s="5" t="s">
        <v>1206</v>
      </c>
      <c r="G381" s="6" t="s">
        <v>1713</v>
      </c>
      <c r="H381" s="6" t="s">
        <v>909</v>
      </c>
      <c r="M381" s="10" t="s">
        <v>3759</v>
      </c>
      <c r="R381" s="10" t="s">
        <v>1713</v>
      </c>
      <c r="U381" s="5" t="s">
        <v>1713</v>
      </c>
    </row>
    <row r="382" spans="1:21" x14ac:dyDescent="0.2">
      <c r="A382" s="3">
        <v>381</v>
      </c>
      <c r="B382" s="5" t="s">
        <v>1369</v>
      </c>
      <c r="C382" s="5" t="s">
        <v>1249</v>
      </c>
      <c r="D382" s="5" t="s">
        <v>1206</v>
      </c>
      <c r="G382" s="6" t="s">
        <v>1713</v>
      </c>
      <c r="H382" s="6" t="s">
        <v>910</v>
      </c>
      <c r="M382" s="10" t="s">
        <v>3759</v>
      </c>
      <c r="R382" s="10" t="s">
        <v>1713</v>
      </c>
      <c r="U382" s="5" t="s">
        <v>1713</v>
      </c>
    </row>
    <row r="383" spans="1:21" x14ac:dyDescent="0.2">
      <c r="A383" s="3">
        <v>382</v>
      </c>
      <c r="B383" s="5" t="s">
        <v>1370</v>
      </c>
      <c r="C383" s="5" t="s">
        <v>1172</v>
      </c>
      <c r="G383" s="6" t="s">
        <v>1713</v>
      </c>
      <c r="H383" s="6" t="s">
        <v>911</v>
      </c>
      <c r="M383" s="10" t="s">
        <v>3760</v>
      </c>
      <c r="R383" s="10" t="s">
        <v>1713</v>
      </c>
      <c r="U383" s="5" t="s">
        <v>1713</v>
      </c>
    </row>
    <row r="384" spans="1:21" x14ac:dyDescent="0.2">
      <c r="A384" s="3">
        <v>383</v>
      </c>
      <c r="B384" s="5" t="s">
        <v>1371</v>
      </c>
      <c r="C384" s="5" t="s">
        <v>1181</v>
      </c>
      <c r="G384" s="6" t="s">
        <v>1713</v>
      </c>
      <c r="H384" s="6" t="s">
        <v>912</v>
      </c>
      <c r="M384" s="10" t="s">
        <v>3761</v>
      </c>
      <c r="R384" s="10" t="s">
        <v>1713</v>
      </c>
      <c r="U384" s="5" t="s">
        <v>1713</v>
      </c>
    </row>
    <row r="385" spans="1:21" x14ac:dyDescent="0.2">
      <c r="A385" s="3">
        <v>384</v>
      </c>
      <c r="B385" s="5" t="s">
        <v>1372</v>
      </c>
      <c r="C385" s="5" t="s">
        <v>1249</v>
      </c>
      <c r="D385" s="5" t="s">
        <v>1171</v>
      </c>
      <c r="G385" s="6" t="s">
        <v>1713</v>
      </c>
      <c r="H385" s="6" t="s">
        <v>913</v>
      </c>
      <c r="M385" s="10" t="s">
        <v>3762</v>
      </c>
      <c r="R385" s="10" t="s">
        <v>1713</v>
      </c>
      <c r="U385" s="5" t="s">
        <v>1713</v>
      </c>
    </row>
    <row r="386" spans="1:21" x14ac:dyDescent="0.2">
      <c r="A386" s="3">
        <v>385</v>
      </c>
      <c r="B386" s="5" t="s">
        <v>1373</v>
      </c>
      <c r="C386" s="5" t="s">
        <v>1214</v>
      </c>
      <c r="D386" s="5" t="s">
        <v>1206</v>
      </c>
      <c r="G386" s="6" t="s">
        <v>1713</v>
      </c>
      <c r="H386" s="6" t="s">
        <v>914</v>
      </c>
      <c r="M386" s="10" t="s">
        <v>3729</v>
      </c>
      <c r="R386" s="10" t="s">
        <v>1713</v>
      </c>
      <c r="U386" s="5" t="s">
        <v>1713</v>
      </c>
    </row>
    <row r="387" spans="1:21" x14ac:dyDescent="0.2">
      <c r="A387" s="3">
        <v>386</v>
      </c>
      <c r="B387" s="5" t="s">
        <v>1374</v>
      </c>
      <c r="C387" s="5" t="s">
        <v>1206</v>
      </c>
      <c r="G387" s="6" t="s">
        <v>1713</v>
      </c>
      <c r="H387" s="6" t="s">
        <v>915</v>
      </c>
      <c r="M387" s="10" t="s">
        <v>1138</v>
      </c>
      <c r="R387" s="10" t="s">
        <v>1713</v>
      </c>
      <c r="U387" s="5" t="s">
        <v>1713</v>
      </c>
    </row>
    <row r="388" spans="1:21" x14ac:dyDescent="0.2">
      <c r="A388" s="3">
        <v>387</v>
      </c>
      <c r="B388" s="5" t="s">
        <v>1375</v>
      </c>
      <c r="C388" s="5" t="s">
        <v>1168</v>
      </c>
      <c r="G388" s="6" t="s">
        <v>930</v>
      </c>
      <c r="H388" s="6" t="s">
        <v>916</v>
      </c>
      <c r="M388" s="10" t="s">
        <v>3763</v>
      </c>
      <c r="R388" s="10" t="s">
        <v>1713</v>
      </c>
      <c r="U388" s="5" t="s">
        <v>1713</v>
      </c>
    </row>
    <row r="389" spans="1:21" x14ac:dyDescent="0.2">
      <c r="A389" s="3">
        <v>388</v>
      </c>
      <c r="B389" s="5" t="s">
        <v>1376</v>
      </c>
      <c r="C389" s="5" t="s">
        <v>1168</v>
      </c>
      <c r="G389" s="6" t="s">
        <v>931</v>
      </c>
      <c r="H389" s="6" t="s">
        <v>917</v>
      </c>
      <c r="M389" s="10" t="s">
        <v>3550</v>
      </c>
      <c r="R389" s="10" t="s">
        <v>3544</v>
      </c>
      <c r="U389" s="5" t="s">
        <v>3544</v>
      </c>
    </row>
    <row r="390" spans="1:21" x14ac:dyDescent="0.2">
      <c r="A390" s="3">
        <v>389</v>
      </c>
      <c r="B390" s="5" t="s">
        <v>1377</v>
      </c>
      <c r="C390" s="5" t="s">
        <v>1168</v>
      </c>
      <c r="D390" s="5" t="s">
        <v>1181</v>
      </c>
      <c r="G390" s="6" t="s">
        <v>932</v>
      </c>
      <c r="H390" s="6" t="s">
        <v>918</v>
      </c>
      <c r="M390" s="10" t="s">
        <v>3550</v>
      </c>
      <c r="R390" s="10" t="s">
        <v>3545</v>
      </c>
      <c r="U390" s="5" t="s">
        <v>3545</v>
      </c>
    </row>
    <row r="391" spans="1:21" x14ac:dyDescent="0.2">
      <c r="A391" s="3">
        <v>390</v>
      </c>
      <c r="B391" s="5" t="s">
        <v>1378</v>
      </c>
      <c r="C391" s="5" t="s">
        <v>1170</v>
      </c>
      <c r="G391" s="6" t="s">
        <v>933</v>
      </c>
      <c r="H391" s="6" t="s">
        <v>919</v>
      </c>
      <c r="M391" s="10" t="s">
        <v>3763</v>
      </c>
      <c r="R391" s="10" t="s">
        <v>1713</v>
      </c>
      <c r="U391" s="5" t="s">
        <v>1713</v>
      </c>
    </row>
    <row r="392" spans="1:21" x14ac:dyDescent="0.2">
      <c r="A392" s="3">
        <v>391</v>
      </c>
      <c r="B392" s="5" t="s">
        <v>1379</v>
      </c>
      <c r="C392" s="5" t="s">
        <v>1170</v>
      </c>
      <c r="D392" s="5" t="s">
        <v>1201</v>
      </c>
      <c r="G392" s="6" t="s">
        <v>934</v>
      </c>
      <c r="H392" s="6" t="s">
        <v>920</v>
      </c>
      <c r="M392" s="10" t="s">
        <v>3550</v>
      </c>
      <c r="R392" s="10" t="s">
        <v>3543</v>
      </c>
      <c r="U392" s="5" t="s">
        <v>3543</v>
      </c>
    </row>
    <row r="393" spans="1:21" x14ac:dyDescent="0.2">
      <c r="A393" s="3">
        <v>392</v>
      </c>
      <c r="B393" s="5" t="s">
        <v>1380</v>
      </c>
      <c r="C393" s="5" t="s">
        <v>1170</v>
      </c>
      <c r="D393" s="5" t="s">
        <v>1201</v>
      </c>
      <c r="G393" s="6" t="s">
        <v>935</v>
      </c>
      <c r="H393" s="6" t="s">
        <v>921</v>
      </c>
      <c r="M393" s="10" t="s">
        <v>3550</v>
      </c>
      <c r="R393" s="10" t="s">
        <v>3546</v>
      </c>
      <c r="U393" s="5" t="s">
        <v>3546</v>
      </c>
    </row>
    <row r="394" spans="1:21" x14ac:dyDescent="0.2">
      <c r="A394" s="3">
        <v>393</v>
      </c>
      <c r="B394" s="5" t="s">
        <v>1381</v>
      </c>
      <c r="C394" s="5" t="s">
        <v>1172</v>
      </c>
      <c r="G394" s="6" t="s">
        <v>936</v>
      </c>
      <c r="H394" s="6" t="s">
        <v>922</v>
      </c>
      <c r="M394" s="10" t="s">
        <v>3763</v>
      </c>
      <c r="R394" s="10" t="s">
        <v>1713</v>
      </c>
      <c r="U394" s="5" t="s">
        <v>1713</v>
      </c>
    </row>
    <row r="395" spans="1:21" x14ac:dyDescent="0.2">
      <c r="A395" s="3">
        <v>394</v>
      </c>
      <c r="B395" s="5" t="s">
        <v>1382</v>
      </c>
      <c r="C395" s="5" t="s">
        <v>1172</v>
      </c>
      <c r="G395" s="6" t="s">
        <v>937</v>
      </c>
      <c r="H395" s="6" t="s">
        <v>923</v>
      </c>
      <c r="M395" s="10" t="s">
        <v>3550</v>
      </c>
      <c r="R395" s="10" t="s">
        <v>3541</v>
      </c>
      <c r="U395" s="5" t="s">
        <v>3541</v>
      </c>
    </row>
    <row r="396" spans="1:21" x14ac:dyDescent="0.2">
      <c r="A396" s="3">
        <v>395</v>
      </c>
      <c r="B396" s="5" t="s">
        <v>1383</v>
      </c>
      <c r="C396" s="5" t="s">
        <v>1172</v>
      </c>
      <c r="D396" s="5" t="s">
        <v>1214</v>
      </c>
      <c r="G396" s="6" t="s">
        <v>538</v>
      </c>
      <c r="H396" s="6" t="s">
        <v>924</v>
      </c>
      <c r="M396" s="10" t="s">
        <v>3550</v>
      </c>
      <c r="R396" s="10" t="s">
        <v>3542</v>
      </c>
      <c r="U396" s="5" t="s">
        <v>3542</v>
      </c>
    </row>
    <row r="397" spans="1:21" x14ac:dyDescent="0.2">
      <c r="A397" s="3">
        <v>396</v>
      </c>
      <c r="B397" s="5" t="s">
        <v>1384</v>
      </c>
      <c r="C397" s="5" t="s">
        <v>1174</v>
      </c>
      <c r="D397" s="5" t="s">
        <v>1171</v>
      </c>
      <c r="G397" s="6" t="s">
        <v>539</v>
      </c>
      <c r="H397" s="6" t="s">
        <v>925</v>
      </c>
      <c r="I397" s="11" t="s">
        <v>626</v>
      </c>
      <c r="M397" s="10" t="s">
        <v>3812</v>
      </c>
      <c r="N397" s="9" t="s">
        <v>3176</v>
      </c>
      <c r="R397" s="10" t="s">
        <v>1713</v>
      </c>
      <c r="U397" s="5" t="s">
        <v>1713</v>
      </c>
    </row>
    <row r="398" spans="1:21" x14ac:dyDescent="0.2">
      <c r="A398" s="3">
        <v>397</v>
      </c>
      <c r="B398" s="5" t="s">
        <v>1385</v>
      </c>
      <c r="C398" s="5" t="s">
        <v>1174</v>
      </c>
      <c r="D398" s="5" t="s">
        <v>1171</v>
      </c>
      <c r="G398" s="6" t="s">
        <v>540</v>
      </c>
      <c r="H398" s="6" t="s">
        <v>926</v>
      </c>
      <c r="I398" s="11" t="s">
        <v>627</v>
      </c>
      <c r="M398" s="10" t="s">
        <v>3813</v>
      </c>
      <c r="N398" s="9" t="s">
        <v>3177</v>
      </c>
      <c r="R398" s="10" t="s">
        <v>3059</v>
      </c>
      <c r="S398" s="9" t="s">
        <v>3059</v>
      </c>
      <c r="U398" s="5" t="s">
        <v>3059</v>
      </c>
    </row>
    <row r="399" spans="1:21" x14ac:dyDescent="0.2">
      <c r="A399" s="3">
        <v>398</v>
      </c>
      <c r="B399" s="5" t="s">
        <v>1386</v>
      </c>
      <c r="C399" s="5" t="s">
        <v>1174</v>
      </c>
      <c r="D399" s="5" t="s">
        <v>1171</v>
      </c>
      <c r="G399" s="6" t="s">
        <v>541</v>
      </c>
      <c r="H399" s="6" t="s">
        <v>927</v>
      </c>
      <c r="I399" s="11" t="s">
        <v>628</v>
      </c>
      <c r="M399" s="10" t="s">
        <v>3550</v>
      </c>
      <c r="N399" s="9" t="s">
        <v>3178</v>
      </c>
      <c r="R399" s="10" t="s">
        <v>3060</v>
      </c>
      <c r="S399" s="9" t="s">
        <v>3060</v>
      </c>
      <c r="U399" s="5" t="s">
        <v>3060</v>
      </c>
    </row>
    <row r="400" spans="1:21" x14ac:dyDescent="0.2">
      <c r="A400" s="3">
        <v>399</v>
      </c>
      <c r="B400" s="5" t="s">
        <v>1387</v>
      </c>
      <c r="C400" s="5" t="s">
        <v>1174</v>
      </c>
      <c r="G400" s="6" t="s">
        <v>542</v>
      </c>
      <c r="H400" s="6" t="s">
        <v>928</v>
      </c>
      <c r="M400" s="10" t="s">
        <v>3710</v>
      </c>
      <c r="R400" s="10" t="s">
        <v>1713</v>
      </c>
      <c r="U400" s="5" t="s">
        <v>1713</v>
      </c>
    </row>
    <row r="401" spans="1:21" x14ac:dyDescent="0.2">
      <c r="A401" s="3">
        <v>400</v>
      </c>
      <c r="B401" s="5" t="s">
        <v>1388</v>
      </c>
      <c r="C401" s="5" t="s">
        <v>1174</v>
      </c>
      <c r="D401" s="5" t="s">
        <v>1172</v>
      </c>
      <c r="G401" s="6" t="s">
        <v>543</v>
      </c>
      <c r="H401" s="6" t="s">
        <v>929</v>
      </c>
      <c r="M401" s="10" t="s">
        <v>3764</v>
      </c>
      <c r="R401" s="10" t="s">
        <v>3564</v>
      </c>
      <c r="U401" s="5" t="s">
        <v>3564</v>
      </c>
    </row>
    <row r="402" spans="1:21" x14ac:dyDescent="0.2">
      <c r="A402" s="3">
        <v>401</v>
      </c>
      <c r="B402" s="5" t="s">
        <v>1389</v>
      </c>
      <c r="C402" s="5" t="s">
        <v>1173</v>
      </c>
      <c r="G402" s="6" t="s">
        <v>544</v>
      </c>
      <c r="H402" s="6" t="s">
        <v>3609</v>
      </c>
      <c r="I402" s="11" t="s">
        <v>562</v>
      </c>
      <c r="M402" s="10" t="s">
        <v>3722</v>
      </c>
      <c r="N402" s="9" t="s">
        <v>3125</v>
      </c>
      <c r="R402" s="10" t="s">
        <v>1713</v>
      </c>
      <c r="U402" s="5" t="s">
        <v>1713</v>
      </c>
    </row>
    <row r="403" spans="1:21" x14ac:dyDescent="0.2">
      <c r="A403" s="3">
        <v>402</v>
      </c>
      <c r="B403" s="5" t="s">
        <v>1390</v>
      </c>
      <c r="C403" s="5" t="s">
        <v>1173</v>
      </c>
      <c r="G403" s="6" t="s">
        <v>545</v>
      </c>
      <c r="H403" s="6" t="s">
        <v>3610</v>
      </c>
      <c r="I403" s="11" t="s">
        <v>563</v>
      </c>
      <c r="M403" s="10" t="s">
        <v>3814</v>
      </c>
      <c r="N403" s="9" t="s">
        <v>3126</v>
      </c>
      <c r="R403" s="10" t="s">
        <v>3015</v>
      </c>
      <c r="S403" s="9" t="s">
        <v>3015</v>
      </c>
      <c r="U403" s="5" t="s">
        <v>3015</v>
      </c>
    </row>
    <row r="404" spans="1:21" x14ac:dyDescent="0.2">
      <c r="A404" s="3">
        <v>403</v>
      </c>
      <c r="B404" s="5" t="s">
        <v>1391</v>
      </c>
      <c r="C404" s="5" t="s">
        <v>1179</v>
      </c>
      <c r="G404" s="6" t="s">
        <v>546</v>
      </c>
      <c r="H404" s="6" t="s">
        <v>3611</v>
      </c>
      <c r="I404" s="11" t="s">
        <v>623</v>
      </c>
      <c r="M404" s="10" t="s">
        <v>3706</v>
      </c>
      <c r="N404" s="9" t="s">
        <v>3173</v>
      </c>
      <c r="R404" s="10" t="s">
        <v>1713</v>
      </c>
      <c r="U404" s="5" t="s">
        <v>1713</v>
      </c>
    </row>
    <row r="405" spans="1:21" x14ac:dyDescent="0.2">
      <c r="A405" s="3">
        <v>404</v>
      </c>
      <c r="B405" s="5" t="s">
        <v>1392</v>
      </c>
      <c r="C405" s="5" t="s">
        <v>1179</v>
      </c>
      <c r="G405" s="6" t="s">
        <v>547</v>
      </c>
      <c r="H405" s="6" t="s">
        <v>3612</v>
      </c>
      <c r="I405" s="11" t="s">
        <v>624</v>
      </c>
      <c r="M405" s="10" t="s">
        <v>3846</v>
      </c>
      <c r="N405" s="9" t="s">
        <v>3174</v>
      </c>
      <c r="R405" s="10" t="s">
        <v>3057</v>
      </c>
      <c r="S405" s="9" t="s">
        <v>3057</v>
      </c>
      <c r="U405" s="5" t="s">
        <v>3057</v>
      </c>
    </row>
    <row r="406" spans="1:21" x14ac:dyDescent="0.2">
      <c r="A406" s="3">
        <v>405</v>
      </c>
      <c r="B406" s="5" t="s">
        <v>1393</v>
      </c>
      <c r="C406" s="5" t="s">
        <v>1179</v>
      </c>
      <c r="G406" s="6" t="s">
        <v>548</v>
      </c>
      <c r="H406" s="6" t="s">
        <v>3613</v>
      </c>
      <c r="I406" s="11" t="s">
        <v>625</v>
      </c>
      <c r="M406" s="10" t="s">
        <v>3550</v>
      </c>
      <c r="N406" s="9" t="s">
        <v>3175</v>
      </c>
      <c r="R406" s="10" t="s">
        <v>3058</v>
      </c>
      <c r="S406" s="9" t="s">
        <v>3058</v>
      </c>
      <c r="U406" s="5" t="s">
        <v>3058</v>
      </c>
    </row>
    <row r="407" spans="1:21" x14ac:dyDescent="0.2">
      <c r="A407" s="3">
        <v>406</v>
      </c>
      <c r="B407" s="5" t="s">
        <v>28</v>
      </c>
      <c r="C407" s="5" t="s">
        <v>1168</v>
      </c>
      <c r="D407" s="5" t="s">
        <v>1169</v>
      </c>
      <c r="F407" s="4" t="s">
        <v>588</v>
      </c>
      <c r="G407" s="6" t="s">
        <v>554</v>
      </c>
      <c r="H407" s="6" t="s">
        <v>3614</v>
      </c>
      <c r="J407" s="19" t="s">
        <v>558</v>
      </c>
      <c r="L407" s="21" t="s">
        <v>2549</v>
      </c>
      <c r="M407" s="10" t="s">
        <v>3710</v>
      </c>
      <c r="O407" s="13" t="s">
        <v>1680</v>
      </c>
      <c r="Q407" s="21" t="s">
        <v>2497</v>
      </c>
      <c r="T407" s="12" t="s">
        <v>1713</v>
      </c>
    </row>
    <row r="408" spans="1:21" x14ac:dyDescent="0.2">
      <c r="A408" s="3">
        <v>407</v>
      </c>
      <c r="B408" s="5" t="s">
        <v>30</v>
      </c>
      <c r="C408" s="5" t="s">
        <v>1168</v>
      </c>
      <c r="D408" s="5" t="s">
        <v>1169</v>
      </c>
      <c r="F408" s="4" t="s">
        <v>590</v>
      </c>
      <c r="G408" s="6" t="s">
        <v>556</v>
      </c>
      <c r="H408" s="6" t="s">
        <v>3615</v>
      </c>
      <c r="J408" s="19" t="s">
        <v>560</v>
      </c>
      <c r="L408" s="21" t="s">
        <v>2551</v>
      </c>
      <c r="M408" s="10" t="s">
        <v>3550</v>
      </c>
      <c r="O408" s="13" t="s">
        <v>1677</v>
      </c>
      <c r="Q408" s="21" t="s">
        <v>980</v>
      </c>
      <c r="R408" s="10" t="s">
        <v>980</v>
      </c>
      <c r="T408" s="12" t="s">
        <v>980</v>
      </c>
      <c r="U408" s="5" t="s">
        <v>980</v>
      </c>
    </row>
    <row r="409" spans="1:21" x14ac:dyDescent="0.2">
      <c r="A409" s="3">
        <v>408</v>
      </c>
      <c r="B409" s="5" t="s">
        <v>1394</v>
      </c>
      <c r="C409" s="5" t="s">
        <v>1210</v>
      </c>
      <c r="G409" s="6" t="s">
        <v>565</v>
      </c>
      <c r="H409" s="6" t="s">
        <v>3616</v>
      </c>
      <c r="M409" s="10" t="s">
        <v>3805</v>
      </c>
      <c r="R409" s="10" t="s">
        <v>1713</v>
      </c>
      <c r="U409" s="5" t="s">
        <v>1713</v>
      </c>
    </row>
    <row r="410" spans="1:21" x14ac:dyDescent="0.2">
      <c r="A410" s="3">
        <v>409</v>
      </c>
      <c r="B410" s="5" t="s">
        <v>1395</v>
      </c>
      <c r="C410" s="5" t="s">
        <v>1210</v>
      </c>
      <c r="G410" s="6" t="s">
        <v>566</v>
      </c>
      <c r="H410" s="6" t="s">
        <v>3617</v>
      </c>
      <c r="M410" s="10" t="s">
        <v>3550</v>
      </c>
      <c r="R410" s="10" t="s">
        <v>3567</v>
      </c>
      <c r="U410" s="5" t="s">
        <v>3567</v>
      </c>
    </row>
    <row r="411" spans="1:21" x14ac:dyDescent="0.2">
      <c r="A411" s="3">
        <v>410</v>
      </c>
      <c r="B411" s="5" t="s">
        <v>1396</v>
      </c>
      <c r="C411" s="5" t="s">
        <v>1210</v>
      </c>
      <c r="D411" s="5" t="s">
        <v>1214</v>
      </c>
      <c r="G411" s="6" t="s">
        <v>567</v>
      </c>
      <c r="H411" s="6" t="s">
        <v>3618</v>
      </c>
      <c r="M411" s="10" t="s">
        <v>3792</v>
      </c>
      <c r="R411" s="10" t="s">
        <v>1713</v>
      </c>
      <c r="U411" s="5" t="s">
        <v>1713</v>
      </c>
    </row>
    <row r="412" spans="1:21" x14ac:dyDescent="0.2">
      <c r="A412" s="3">
        <v>411</v>
      </c>
      <c r="B412" s="5" t="s">
        <v>1397</v>
      </c>
      <c r="C412" s="5" t="s">
        <v>1210</v>
      </c>
      <c r="D412" s="5" t="s">
        <v>1214</v>
      </c>
      <c r="G412" s="6" t="s">
        <v>568</v>
      </c>
      <c r="H412" s="6" t="s">
        <v>3619</v>
      </c>
      <c r="M412" s="10" t="s">
        <v>3550</v>
      </c>
      <c r="R412" s="10" t="s">
        <v>3568</v>
      </c>
      <c r="U412" s="5" t="s">
        <v>3568</v>
      </c>
    </row>
    <row r="413" spans="1:21" x14ac:dyDescent="0.2">
      <c r="A413" s="3">
        <v>412</v>
      </c>
      <c r="B413" s="5" t="s">
        <v>1398</v>
      </c>
      <c r="C413" s="5" t="s">
        <v>1173</v>
      </c>
      <c r="G413" s="6" t="s">
        <v>574</v>
      </c>
      <c r="H413" s="6" t="s">
        <v>3620</v>
      </c>
      <c r="M413" s="10" t="s">
        <v>3847</v>
      </c>
      <c r="R413" s="10" t="s">
        <v>1713</v>
      </c>
      <c r="U413" s="5" t="s">
        <v>1713</v>
      </c>
    </row>
    <row r="414" spans="1:21" x14ac:dyDescent="0.2">
      <c r="A414" s="3">
        <v>413</v>
      </c>
      <c r="B414" s="5" t="s">
        <v>1399</v>
      </c>
      <c r="C414" s="5" t="s">
        <v>1173</v>
      </c>
      <c r="D414" s="5" t="s">
        <v>1168</v>
      </c>
      <c r="G414" s="6" t="s">
        <v>575</v>
      </c>
      <c r="H414" s="6" t="s">
        <v>3621</v>
      </c>
      <c r="M414" s="10" t="s">
        <v>3550</v>
      </c>
      <c r="R414" s="10" t="s">
        <v>3548</v>
      </c>
      <c r="U414" s="5" t="s">
        <v>3548</v>
      </c>
    </row>
    <row r="415" spans="1:21" x14ac:dyDescent="0.2">
      <c r="A415" s="3">
        <v>414</v>
      </c>
      <c r="B415" s="5" t="s">
        <v>1400</v>
      </c>
      <c r="C415" s="5" t="s">
        <v>1173</v>
      </c>
      <c r="D415" s="5" t="s">
        <v>1171</v>
      </c>
      <c r="G415" s="6" t="s">
        <v>576</v>
      </c>
      <c r="H415" s="6" t="s">
        <v>3622</v>
      </c>
      <c r="M415" s="10" t="s">
        <v>3550</v>
      </c>
      <c r="R415" s="10" t="s">
        <v>3549</v>
      </c>
      <c r="U415" s="5" t="s">
        <v>3549</v>
      </c>
    </row>
    <row r="416" spans="1:21" x14ac:dyDescent="0.2">
      <c r="A416" s="3">
        <v>415</v>
      </c>
      <c r="B416" s="5" t="s">
        <v>329</v>
      </c>
      <c r="C416" s="5" t="s">
        <v>1173</v>
      </c>
      <c r="D416" s="5" t="s">
        <v>1171</v>
      </c>
      <c r="F416" s="4" t="s">
        <v>645</v>
      </c>
      <c r="G416" s="6" t="s">
        <v>582</v>
      </c>
      <c r="H416" s="6" t="s">
        <v>3623</v>
      </c>
      <c r="I416" s="11" t="s">
        <v>567</v>
      </c>
      <c r="L416" s="21" t="s">
        <v>2593</v>
      </c>
      <c r="M416" s="10" t="s">
        <v>3706</v>
      </c>
      <c r="N416" s="9" t="s">
        <v>3130</v>
      </c>
      <c r="R416" s="10" t="s">
        <v>1713</v>
      </c>
      <c r="U416" s="5" t="s">
        <v>1713</v>
      </c>
    </row>
    <row r="417" spans="1:21" x14ac:dyDescent="0.2">
      <c r="A417" s="3">
        <v>416</v>
      </c>
      <c r="B417" s="5" t="s">
        <v>330</v>
      </c>
      <c r="C417" s="5" t="s">
        <v>1173</v>
      </c>
      <c r="D417" s="5" t="s">
        <v>1171</v>
      </c>
      <c r="F417" s="4" t="s">
        <v>646</v>
      </c>
      <c r="G417" s="6" t="s">
        <v>583</v>
      </c>
      <c r="H417" s="6" t="s">
        <v>3624</v>
      </c>
      <c r="I417" s="11" t="s">
        <v>568</v>
      </c>
      <c r="L417" s="21" t="s">
        <v>2594</v>
      </c>
      <c r="M417" s="10" t="s">
        <v>3550</v>
      </c>
      <c r="N417" s="9" t="s">
        <v>3129</v>
      </c>
      <c r="Q417" s="21" t="s">
        <v>1117</v>
      </c>
      <c r="R417" s="10" t="s">
        <v>1117</v>
      </c>
      <c r="S417" s="9" t="s">
        <v>1117</v>
      </c>
      <c r="U417" s="5" t="s">
        <v>1117</v>
      </c>
    </row>
    <row r="418" spans="1:21" x14ac:dyDescent="0.2">
      <c r="A418" s="3">
        <v>417</v>
      </c>
      <c r="B418" s="5" t="s">
        <v>1401</v>
      </c>
      <c r="C418" s="5" t="s">
        <v>1179</v>
      </c>
      <c r="G418" s="6" t="s">
        <v>584</v>
      </c>
      <c r="H418" s="6" t="s">
        <v>3625</v>
      </c>
      <c r="I418" s="11" t="s">
        <v>730</v>
      </c>
      <c r="M418" s="10" t="s">
        <v>3710</v>
      </c>
      <c r="N418" s="9" t="s">
        <v>3259</v>
      </c>
      <c r="R418" s="10" t="s">
        <v>1713</v>
      </c>
      <c r="U418" s="5" t="s">
        <v>1713</v>
      </c>
    </row>
    <row r="419" spans="1:21" x14ac:dyDescent="0.2">
      <c r="A419" s="3">
        <v>418</v>
      </c>
      <c r="B419" s="5" t="s">
        <v>1402</v>
      </c>
      <c r="C419" s="5" t="s">
        <v>1172</v>
      </c>
      <c r="G419" s="6" t="s">
        <v>585</v>
      </c>
      <c r="H419" s="6" t="s">
        <v>3626</v>
      </c>
      <c r="I419" s="11" t="s">
        <v>580</v>
      </c>
      <c r="M419" s="10" t="s">
        <v>3708</v>
      </c>
      <c r="N419" s="9" t="s">
        <v>3141</v>
      </c>
      <c r="R419" s="10" t="s">
        <v>1713</v>
      </c>
      <c r="U419" s="5" t="s">
        <v>1713</v>
      </c>
    </row>
    <row r="420" spans="1:21" x14ac:dyDescent="0.2">
      <c r="A420" s="3">
        <v>419</v>
      </c>
      <c r="B420" s="5" t="s">
        <v>1403</v>
      </c>
      <c r="C420" s="5" t="s">
        <v>1172</v>
      </c>
      <c r="G420" s="6" t="s">
        <v>586</v>
      </c>
      <c r="H420" s="6" t="s">
        <v>3627</v>
      </c>
      <c r="I420" s="11" t="s">
        <v>581</v>
      </c>
      <c r="M420" s="10" t="s">
        <v>3765</v>
      </c>
      <c r="N420" s="9" t="s">
        <v>3142</v>
      </c>
      <c r="R420" s="10" t="s">
        <v>3046</v>
      </c>
      <c r="S420" s="9" t="s">
        <v>3046</v>
      </c>
      <c r="U420" s="5" t="s">
        <v>3046</v>
      </c>
    </row>
    <row r="421" spans="1:21" x14ac:dyDescent="0.2">
      <c r="A421" s="3">
        <v>420</v>
      </c>
      <c r="B421" s="5" t="s">
        <v>339</v>
      </c>
      <c r="C421" s="5" t="s">
        <v>1168</v>
      </c>
      <c r="F421" s="4" t="s">
        <v>657</v>
      </c>
      <c r="G421" s="6" t="s">
        <v>587</v>
      </c>
      <c r="H421" s="6" t="s">
        <v>3628</v>
      </c>
      <c r="L421" s="21" t="s">
        <v>3550</v>
      </c>
      <c r="M421" s="10" t="s">
        <v>3706</v>
      </c>
      <c r="R421" s="10" t="s">
        <v>1713</v>
      </c>
      <c r="U421" s="5" t="s">
        <v>1713</v>
      </c>
    </row>
    <row r="422" spans="1:21" x14ac:dyDescent="0.2">
      <c r="A422" s="3">
        <v>421</v>
      </c>
      <c r="B422" s="5" t="s">
        <v>340</v>
      </c>
      <c r="C422" s="5" t="s">
        <v>1168</v>
      </c>
      <c r="F422" s="4" t="s">
        <v>658</v>
      </c>
      <c r="G422" s="6" t="s">
        <v>588</v>
      </c>
      <c r="H422" s="6" t="s">
        <v>3629</v>
      </c>
      <c r="L422" s="21" t="s">
        <v>2601</v>
      </c>
      <c r="M422" s="10" t="s">
        <v>3550</v>
      </c>
      <c r="Q422" s="21" t="s">
        <v>1009</v>
      </c>
      <c r="R422" s="10" t="s">
        <v>1009</v>
      </c>
      <c r="U422" s="5" t="s">
        <v>1009</v>
      </c>
    </row>
    <row r="423" spans="1:21" x14ac:dyDescent="0.2">
      <c r="A423" s="3">
        <v>422</v>
      </c>
      <c r="B423" s="5" t="s">
        <v>402</v>
      </c>
      <c r="C423" s="5" t="s">
        <v>1172</v>
      </c>
      <c r="F423" s="4" t="s">
        <v>759</v>
      </c>
      <c r="G423" s="6" t="s">
        <v>589</v>
      </c>
      <c r="H423" s="6" t="s">
        <v>3630</v>
      </c>
      <c r="I423" s="24" t="s">
        <v>856</v>
      </c>
      <c r="L423" s="21" t="s">
        <v>2655</v>
      </c>
      <c r="M423" s="10" t="s">
        <v>3708</v>
      </c>
      <c r="N423" s="9" t="s">
        <v>3337</v>
      </c>
      <c r="R423" s="10" t="s">
        <v>1713</v>
      </c>
      <c r="U423" s="5" t="s">
        <v>1713</v>
      </c>
    </row>
    <row r="424" spans="1:21" x14ac:dyDescent="0.2">
      <c r="A424" s="3">
        <v>423</v>
      </c>
      <c r="B424" s="5" t="s">
        <v>403</v>
      </c>
      <c r="C424" s="5" t="s">
        <v>1172</v>
      </c>
      <c r="D424" s="5" t="s">
        <v>1181</v>
      </c>
      <c r="F424" s="4" t="s">
        <v>760</v>
      </c>
      <c r="G424" s="6" t="s">
        <v>590</v>
      </c>
      <c r="H424" s="6" t="s">
        <v>3631</v>
      </c>
      <c r="I424" s="24" t="s">
        <v>857</v>
      </c>
      <c r="L424" s="21" t="s">
        <v>2656</v>
      </c>
      <c r="M424" s="10" t="s">
        <v>3708</v>
      </c>
      <c r="N424" s="9" t="s">
        <v>3338</v>
      </c>
      <c r="Q424" s="21" t="s">
        <v>1054</v>
      </c>
      <c r="R424" s="10" t="s">
        <v>1054</v>
      </c>
      <c r="U424" s="5" t="s">
        <v>1054</v>
      </c>
    </row>
    <row r="425" spans="1:21" x14ac:dyDescent="0.2">
      <c r="A425" s="3">
        <v>424</v>
      </c>
      <c r="B425" s="5" t="s">
        <v>1404</v>
      </c>
      <c r="C425" s="5" t="s">
        <v>1174</v>
      </c>
      <c r="G425" s="6" t="s">
        <v>593</v>
      </c>
      <c r="H425" s="6" t="s">
        <v>3632</v>
      </c>
      <c r="M425" s="10" t="s">
        <v>3550</v>
      </c>
      <c r="R425" s="10" t="s">
        <v>3574</v>
      </c>
      <c r="U425" s="5" t="s">
        <v>3574</v>
      </c>
    </row>
    <row r="426" spans="1:21" x14ac:dyDescent="0.2">
      <c r="A426" s="3">
        <v>425</v>
      </c>
      <c r="B426" s="5" t="s">
        <v>335</v>
      </c>
      <c r="C426" s="5" t="s">
        <v>1223</v>
      </c>
      <c r="D426" s="5" t="s">
        <v>1171</v>
      </c>
      <c r="F426" s="4" t="s">
        <v>653</v>
      </c>
      <c r="G426" s="6" t="s">
        <v>594</v>
      </c>
      <c r="H426" s="6" t="s">
        <v>3633</v>
      </c>
      <c r="I426" s="11" t="s">
        <v>672</v>
      </c>
      <c r="L426" s="21" t="s">
        <v>2599</v>
      </c>
      <c r="M426" s="10" t="s">
        <v>3815</v>
      </c>
      <c r="N426" s="9" t="s">
        <v>3216</v>
      </c>
      <c r="U426" s="5" t="s">
        <v>1713</v>
      </c>
    </row>
    <row r="427" spans="1:21" x14ac:dyDescent="0.2">
      <c r="A427" s="3">
        <v>426</v>
      </c>
      <c r="B427" s="5" t="s">
        <v>336</v>
      </c>
      <c r="C427" s="5" t="s">
        <v>1223</v>
      </c>
      <c r="D427" s="5" t="s">
        <v>1171</v>
      </c>
      <c r="F427" s="4" t="s">
        <v>654</v>
      </c>
      <c r="G427" s="6" t="s">
        <v>595</v>
      </c>
      <c r="H427" s="6" t="s">
        <v>3634</v>
      </c>
      <c r="I427" s="11" t="s">
        <v>673</v>
      </c>
      <c r="L427" s="21" t="s">
        <v>2526</v>
      </c>
      <c r="M427" s="10" t="s">
        <v>3550</v>
      </c>
      <c r="N427" s="9" t="s">
        <v>3217</v>
      </c>
      <c r="R427" s="10" t="s">
        <v>1007</v>
      </c>
      <c r="S427" s="9" t="s">
        <v>1007</v>
      </c>
      <c r="U427" s="5" t="s">
        <v>1007</v>
      </c>
    </row>
    <row r="428" spans="1:21" x14ac:dyDescent="0.2">
      <c r="A428" s="3">
        <v>427</v>
      </c>
      <c r="B428" s="5" t="s">
        <v>108</v>
      </c>
      <c r="C428" s="5" t="s">
        <v>1174</v>
      </c>
      <c r="G428" s="6" t="s">
        <v>596</v>
      </c>
      <c r="H428" s="6" t="s">
        <v>3635</v>
      </c>
      <c r="J428" s="19" t="s">
        <v>638</v>
      </c>
      <c r="M428" s="10" t="s">
        <v>3710</v>
      </c>
      <c r="O428" s="12" t="s">
        <v>1685</v>
      </c>
      <c r="R428" s="10" t="s">
        <v>1713</v>
      </c>
      <c r="T428" s="12" t="s">
        <v>1713</v>
      </c>
      <c r="U428" s="5" t="s">
        <v>1713</v>
      </c>
    </row>
    <row r="429" spans="1:21" x14ac:dyDescent="0.2">
      <c r="A429" s="3">
        <v>428</v>
      </c>
      <c r="B429" s="5" t="s">
        <v>109</v>
      </c>
      <c r="C429" s="5" t="s">
        <v>1174</v>
      </c>
      <c r="G429" s="6" t="s">
        <v>597</v>
      </c>
      <c r="H429" s="6" t="s">
        <v>3636</v>
      </c>
      <c r="J429" s="19" t="s">
        <v>639</v>
      </c>
      <c r="M429" s="10" t="s">
        <v>3550</v>
      </c>
      <c r="O429" s="12" t="s">
        <v>1804</v>
      </c>
      <c r="R429" s="10" t="s">
        <v>1739</v>
      </c>
      <c r="T429" s="12" t="s">
        <v>1739</v>
      </c>
      <c r="U429" s="5" t="s">
        <v>1739</v>
      </c>
    </row>
    <row r="430" spans="1:21" x14ac:dyDescent="0.2">
      <c r="A430" s="3">
        <v>429</v>
      </c>
      <c r="B430" s="5" t="s">
        <v>1405</v>
      </c>
      <c r="C430" s="5" t="s">
        <v>1223</v>
      </c>
      <c r="G430" s="6" t="s">
        <v>602</v>
      </c>
      <c r="H430" s="6" t="s">
        <v>3637</v>
      </c>
      <c r="I430" s="11" t="s">
        <v>644</v>
      </c>
      <c r="M430" s="10" t="s">
        <v>3550</v>
      </c>
      <c r="N430" s="9" t="s">
        <v>3192</v>
      </c>
      <c r="R430" s="10" t="s">
        <v>3064</v>
      </c>
      <c r="S430" s="9" t="s">
        <v>3064</v>
      </c>
      <c r="U430" s="5" t="s">
        <v>3064</v>
      </c>
    </row>
    <row r="431" spans="1:21" x14ac:dyDescent="0.2">
      <c r="A431" s="3">
        <v>430</v>
      </c>
      <c r="B431" s="5" t="s">
        <v>1406</v>
      </c>
      <c r="C431" s="5" t="s">
        <v>1270</v>
      </c>
      <c r="D431" s="5" t="s">
        <v>1171</v>
      </c>
      <c r="G431" s="6" t="s">
        <v>604</v>
      </c>
      <c r="H431" s="6" t="s">
        <v>3638</v>
      </c>
      <c r="I431" s="11" t="s">
        <v>762</v>
      </c>
      <c r="M431" s="10" t="s">
        <v>3550</v>
      </c>
      <c r="N431" s="9" t="s">
        <v>3283</v>
      </c>
      <c r="R431" s="10" t="s">
        <v>3032</v>
      </c>
      <c r="S431" s="9" t="s">
        <v>3032</v>
      </c>
      <c r="U431" s="5" t="s">
        <v>3032</v>
      </c>
    </row>
    <row r="432" spans="1:21" x14ac:dyDescent="0.2">
      <c r="A432" s="3">
        <v>431</v>
      </c>
      <c r="B432" s="5" t="s">
        <v>1407</v>
      </c>
      <c r="C432" s="5" t="s">
        <v>1174</v>
      </c>
      <c r="G432" s="6" t="s">
        <v>605</v>
      </c>
      <c r="H432" s="6" t="s">
        <v>3639</v>
      </c>
      <c r="M432" s="10" t="s">
        <v>3848</v>
      </c>
      <c r="R432" s="10" t="s">
        <v>1713</v>
      </c>
      <c r="U432" s="5" t="s">
        <v>1713</v>
      </c>
    </row>
    <row r="433" spans="1:21" x14ac:dyDescent="0.2">
      <c r="A433" s="3">
        <v>432</v>
      </c>
      <c r="B433" s="5" t="s">
        <v>1408</v>
      </c>
      <c r="C433" s="5" t="s">
        <v>1174</v>
      </c>
      <c r="G433" s="6" t="s">
        <v>606</v>
      </c>
      <c r="H433" s="6" t="s">
        <v>3640</v>
      </c>
      <c r="M433" s="10" t="s">
        <v>3793</v>
      </c>
      <c r="R433" s="10" t="s">
        <v>3572</v>
      </c>
      <c r="U433" s="5" t="s">
        <v>3572</v>
      </c>
    </row>
    <row r="434" spans="1:21" x14ac:dyDescent="0.2">
      <c r="A434" s="3">
        <v>433</v>
      </c>
      <c r="B434" s="5" t="s">
        <v>1409</v>
      </c>
      <c r="C434" s="5" t="s">
        <v>1206</v>
      </c>
      <c r="G434" s="6" t="s">
        <v>611</v>
      </c>
      <c r="H434" s="6" t="s">
        <v>3641</v>
      </c>
      <c r="M434" s="10" t="s">
        <v>3749</v>
      </c>
      <c r="R434" s="10" t="s">
        <v>1713</v>
      </c>
      <c r="U434" s="5" t="s">
        <v>1713</v>
      </c>
    </row>
    <row r="435" spans="1:21" x14ac:dyDescent="0.2">
      <c r="A435" s="3">
        <v>434</v>
      </c>
      <c r="B435" s="5" t="s">
        <v>341</v>
      </c>
      <c r="C435" s="5" t="s">
        <v>1169</v>
      </c>
      <c r="D435" s="5" t="s">
        <v>1270</v>
      </c>
      <c r="F435" s="4" t="s">
        <v>659</v>
      </c>
      <c r="G435" s="6" t="s">
        <v>613</v>
      </c>
      <c r="H435" s="6" t="s">
        <v>3642</v>
      </c>
      <c r="I435" s="11" t="s">
        <v>755</v>
      </c>
      <c r="L435" s="21" t="s">
        <v>2602</v>
      </c>
      <c r="M435" s="10" t="s">
        <v>3806</v>
      </c>
      <c r="N435" s="9" t="s">
        <v>3277</v>
      </c>
      <c r="R435" s="10" t="s">
        <v>1713</v>
      </c>
      <c r="U435" s="5" t="s">
        <v>1713</v>
      </c>
    </row>
    <row r="436" spans="1:21" x14ac:dyDescent="0.2">
      <c r="A436" s="3">
        <v>435</v>
      </c>
      <c r="B436" s="5" t="s">
        <v>342</v>
      </c>
      <c r="C436" s="5" t="s">
        <v>1169</v>
      </c>
      <c r="D436" s="5" t="s">
        <v>1270</v>
      </c>
      <c r="F436" s="4" t="s">
        <v>660</v>
      </c>
      <c r="G436" s="6" t="s">
        <v>614</v>
      </c>
      <c r="H436" s="6" t="s">
        <v>3643</v>
      </c>
      <c r="I436" s="11" t="s">
        <v>756</v>
      </c>
      <c r="L436" s="21" t="s">
        <v>2603</v>
      </c>
      <c r="M436" s="10" t="s">
        <v>3806</v>
      </c>
      <c r="N436" s="9" t="s">
        <v>3278</v>
      </c>
      <c r="Q436" s="21" t="s">
        <v>1010</v>
      </c>
      <c r="R436" s="10" t="s">
        <v>1010</v>
      </c>
      <c r="S436" s="9" t="s">
        <v>1010</v>
      </c>
      <c r="U436" s="5" t="s">
        <v>1010</v>
      </c>
    </row>
    <row r="437" spans="1:21" x14ac:dyDescent="0.2">
      <c r="A437" s="3">
        <v>436</v>
      </c>
      <c r="B437" s="5" t="s">
        <v>331</v>
      </c>
      <c r="C437" s="5" t="s">
        <v>1214</v>
      </c>
      <c r="D437" s="5" t="s">
        <v>1206</v>
      </c>
      <c r="F437" s="4" t="s">
        <v>647</v>
      </c>
      <c r="G437" s="6" t="s">
        <v>617</v>
      </c>
      <c r="H437" s="6" t="s">
        <v>3644</v>
      </c>
      <c r="I437" s="11" t="s">
        <v>682</v>
      </c>
      <c r="L437" s="21" t="s">
        <v>2595</v>
      </c>
      <c r="M437" s="10" t="s">
        <v>3766</v>
      </c>
      <c r="N437" s="9" t="s">
        <v>3223</v>
      </c>
      <c r="U437" s="5" t="s">
        <v>1117</v>
      </c>
    </row>
    <row r="438" spans="1:21" x14ac:dyDescent="0.2">
      <c r="A438" s="3">
        <v>437</v>
      </c>
      <c r="B438" s="5" t="s">
        <v>332</v>
      </c>
      <c r="C438" s="5" t="s">
        <v>1214</v>
      </c>
      <c r="D438" s="5" t="s">
        <v>1206</v>
      </c>
      <c r="F438" s="4" t="s">
        <v>648</v>
      </c>
      <c r="G438" s="6" t="s">
        <v>618</v>
      </c>
      <c r="H438" s="6" t="s">
        <v>3645</v>
      </c>
      <c r="I438" s="11" t="s">
        <v>683</v>
      </c>
      <c r="L438" s="21" t="s">
        <v>2596</v>
      </c>
      <c r="M438" s="10" t="s">
        <v>3720</v>
      </c>
      <c r="N438" s="9" t="s">
        <v>3224</v>
      </c>
      <c r="Q438" s="21" t="s">
        <v>1004</v>
      </c>
      <c r="R438" s="10" t="s">
        <v>1004</v>
      </c>
      <c r="S438" s="9" t="s">
        <v>1004</v>
      </c>
      <c r="U438" s="5" t="s">
        <v>1004</v>
      </c>
    </row>
    <row r="439" spans="1:21" x14ac:dyDescent="0.2">
      <c r="A439" s="3">
        <v>438</v>
      </c>
      <c r="B439" s="5" t="s">
        <v>422</v>
      </c>
      <c r="C439" s="5" t="s">
        <v>1210</v>
      </c>
      <c r="F439" s="4" t="s">
        <v>781</v>
      </c>
      <c r="G439" s="6" t="s">
        <v>621</v>
      </c>
      <c r="H439" s="6" t="s">
        <v>3646</v>
      </c>
      <c r="I439" s="11" t="s">
        <v>616</v>
      </c>
      <c r="L439" s="21" t="s">
        <v>2665</v>
      </c>
      <c r="M439" s="10" t="s">
        <v>3794</v>
      </c>
      <c r="N439" s="9" t="s">
        <v>3166</v>
      </c>
      <c r="R439" s="10" t="s">
        <v>1713</v>
      </c>
      <c r="U439" s="5" t="s">
        <v>1713</v>
      </c>
    </row>
    <row r="440" spans="1:21" x14ac:dyDescent="0.2">
      <c r="A440" s="3">
        <v>439</v>
      </c>
      <c r="B440" s="5" t="s">
        <v>506</v>
      </c>
      <c r="C440" s="5" t="s">
        <v>1206</v>
      </c>
      <c r="D440" s="5" t="s">
        <v>1189</v>
      </c>
      <c r="F440" s="4" t="s">
        <v>893</v>
      </c>
      <c r="G440" s="6" t="s">
        <v>623</v>
      </c>
      <c r="H440" s="6" t="s">
        <v>3647</v>
      </c>
      <c r="L440" s="21" t="s">
        <v>2706</v>
      </c>
      <c r="M440" s="10" t="s">
        <v>3816</v>
      </c>
      <c r="Q440" s="21" t="s">
        <v>2505</v>
      </c>
    </row>
    <row r="441" spans="1:21" x14ac:dyDescent="0.2">
      <c r="A441" s="3">
        <v>440</v>
      </c>
      <c r="B441" s="5" t="s">
        <v>1410</v>
      </c>
      <c r="C441" s="5" t="s">
        <v>1174</v>
      </c>
      <c r="G441" s="6" t="s">
        <v>625</v>
      </c>
      <c r="H441" s="6" t="s">
        <v>3648</v>
      </c>
      <c r="I441" s="11" t="s">
        <v>572</v>
      </c>
      <c r="M441" s="10" t="s">
        <v>3767</v>
      </c>
      <c r="N441" s="9" t="s">
        <v>3133</v>
      </c>
      <c r="R441" s="10" t="s">
        <v>1713</v>
      </c>
      <c r="U441" s="5" t="s">
        <v>1713</v>
      </c>
    </row>
    <row r="442" spans="1:21" x14ac:dyDescent="0.2">
      <c r="A442" s="3">
        <v>441</v>
      </c>
      <c r="B442" s="5" t="s">
        <v>1411</v>
      </c>
      <c r="C442" s="5" t="s">
        <v>1174</v>
      </c>
      <c r="D442" s="5" t="s">
        <v>1171</v>
      </c>
      <c r="G442" s="6" t="s">
        <v>631</v>
      </c>
      <c r="H442" s="6" t="s">
        <v>3649</v>
      </c>
      <c r="M442" s="10" t="s">
        <v>3849</v>
      </c>
      <c r="R442" s="10" t="s">
        <v>1713</v>
      </c>
      <c r="U442" s="5" t="s">
        <v>1713</v>
      </c>
    </row>
    <row r="443" spans="1:21" x14ac:dyDescent="0.2">
      <c r="A443" s="3">
        <v>442</v>
      </c>
      <c r="B443" s="5" t="s">
        <v>1412</v>
      </c>
      <c r="C443" s="5" t="s">
        <v>1223</v>
      </c>
      <c r="D443" s="5" t="s">
        <v>1270</v>
      </c>
      <c r="G443" s="6" t="s">
        <v>637</v>
      </c>
      <c r="H443" s="6" t="s">
        <v>3650</v>
      </c>
      <c r="I443" s="11" t="s">
        <v>831</v>
      </c>
      <c r="M443" s="10" t="s">
        <v>3768</v>
      </c>
      <c r="N443" s="9" t="s">
        <v>3321</v>
      </c>
      <c r="R443" s="10" t="s">
        <v>1713</v>
      </c>
      <c r="U443" s="5" t="s">
        <v>1713</v>
      </c>
    </row>
    <row r="444" spans="1:21" x14ac:dyDescent="0.2">
      <c r="A444" s="3">
        <v>443</v>
      </c>
      <c r="B444" s="5" t="s">
        <v>127</v>
      </c>
      <c r="C444" s="5" t="s">
        <v>1249</v>
      </c>
      <c r="D444" s="5" t="s">
        <v>1181</v>
      </c>
      <c r="G444" s="6" t="s">
        <v>638</v>
      </c>
      <c r="H444" s="6" t="s">
        <v>3651</v>
      </c>
      <c r="I444" s="11" t="s">
        <v>655</v>
      </c>
      <c r="J444" s="19" t="s">
        <v>657</v>
      </c>
      <c r="M444" s="10" t="s">
        <v>3850</v>
      </c>
      <c r="N444" s="9" t="s">
        <v>3201</v>
      </c>
      <c r="O444" s="12" t="s">
        <v>1686</v>
      </c>
      <c r="R444" s="10" t="s">
        <v>1713</v>
      </c>
      <c r="T444" s="12" t="s">
        <v>1713</v>
      </c>
      <c r="U444" s="5" t="s">
        <v>1713</v>
      </c>
    </row>
    <row r="445" spans="1:21" x14ac:dyDescent="0.2">
      <c r="A445" s="3">
        <v>444</v>
      </c>
      <c r="B445" s="5" t="s">
        <v>128</v>
      </c>
      <c r="C445" s="5" t="s">
        <v>1249</v>
      </c>
      <c r="D445" s="5" t="s">
        <v>1181</v>
      </c>
      <c r="G445" s="6" t="s">
        <v>639</v>
      </c>
      <c r="H445" s="6" t="s">
        <v>3652</v>
      </c>
      <c r="I445" s="11" t="s">
        <v>656</v>
      </c>
      <c r="J445" s="19" t="s">
        <v>658</v>
      </c>
      <c r="M445" s="10" t="s">
        <v>3740</v>
      </c>
      <c r="N445" s="9" t="s">
        <v>3156</v>
      </c>
      <c r="O445" s="12" t="s">
        <v>1804</v>
      </c>
      <c r="R445" s="10" t="s">
        <v>1761</v>
      </c>
      <c r="S445" s="9" t="s">
        <v>1761</v>
      </c>
      <c r="T445" s="12" t="s">
        <v>1761</v>
      </c>
      <c r="U445" s="5" t="s">
        <v>1761</v>
      </c>
    </row>
    <row r="446" spans="1:21" x14ac:dyDescent="0.2">
      <c r="A446" s="3">
        <v>445</v>
      </c>
      <c r="B446" s="5" t="s">
        <v>129</v>
      </c>
      <c r="C446" s="5" t="s">
        <v>1249</v>
      </c>
      <c r="D446" s="5" t="s">
        <v>1181</v>
      </c>
      <c r="G446" s="6" t="s">
        <v>640</v>
      </c>
      <c r="H446" s="6" t="s">
        <v>3653</v>
      </c>
      <c r="I446" s="11" t="s">
        <v>657</v>
      </c>
      <c r="J446" s="19" t="s">
        <v>659</v>
      </c>
      <c r="M446" s="10" t="s">
        <v>3550</v>
      </c>
      <c r="N446" s="9" t="s">
        <v>3550</v>
      </c>
      <c r="O446" s="12" t="s">
        <v>1804</v>
      </c>
      <c r="R446" s="10" t="s">
        <v>1762</v>
      </c>
      <c r="S446" s="9" t="s">
        <v>1762</v>
      </c>
      <c r="T446" s="12" t="s">
        <v>1762</v>
      </c>
      <c r="U446" s="5" t="s">
        <v>1762</v>
      </c>
    </row>
    <row r="447" spans="1:21" x14ac:dyDescent="0.2">
      <c r="A447" s="3">
        <v>446</v>
      </c>
      <c r="B447" s="5" t="s">
        <v>427</v>
      </c>
      <c r="C447" s="5" t="s">
        <v>1174</v>
      </c>
      <c r="F447" s="4" t="s">
        <v>789</v>
      </c>
      <c r="G447" s="6" t="s">
        <v>641</v>
      </c>
      <c r="H447" s="6" t="s">
        <v>3654</v>
      </c>
      <c r="L447" s="21" t="s">
        <v>2735</v>
      </c>
      <c r="M447" s="10" t="s">
        <v>3733</v>
      </c>
      <c r="Q447" s="21" t="s">
        <v>2503</v>
      </c>
      <c r="U447" s="5" t="s">
        <v>2503</v>
      </c>
    </row>
    <row r="448" spans="1:21" x14ac:dyDescent="0.2">
      <c r="A448" s="3">
        <v>447</v>
      </c>
      <c r="B448" s="5" t="s">
        <v>134</v>
      </c>
      <c r="C448" s="5" t="s">
        <v>1201</v>
      </c>
      <c r="F448" s="4" t="s">
        <v>827</v>
      </c>
      <c r="G448" s="6" t="s">
        <v>644</v>
      </c>
      <c r="H448" s="6" t="s">
        <v>3655</v>
      </c>
      <c r="I448" s="11" t="s">
        <v>692</v>
      </c>
      <c r="J448" s="19" t="s">
        <v>664</v>
      </c>
      <c r="L448" s="21" t="s">
        <v>2741</v>
      </c>
      <c r="M448" s="10" t="s">
        <v>3769</v>
      </c>
      <c r="N448" s="9" t="s">
        <v>3231</v>
      </c>
      <c r="O448" s="12" t="s">
        <v>2402</v>
      </c>
      <c r="R448" s="10" t="s">
        <v>1713</v>
      </c>
      <c r="T448" s="12" t="s">
        <v>1713</v>
      </c>
      <c r="U448" s="5" t="s">
        <v>1713</v>
      </c>
    </row>
    <row r="449" spans="1:21" x14ac:dyDescent="0.2">
      <c r="A449" s="3">
        <v>448</v>
      </c>
      <c r="B449" s="5" t="s">
        <v>135</v>
      </c>
      <c r="C449" s="5" t="s">
        <v>1201</v>
      </c>
      <c r="D449" s="5" t="s">
        <v>1214</v>
      </c>
      <c r="F449" s="4" t="s">
        <v>828</v>
      </c>
      <c r="G449" s="6" t="s">
        <v>645</v>
      </c>
      <c r="H449" s="6" t="s">
        <v>3656</v>
      </c>
      <c r="I449" s="11" t="s">
        <v>693</v>
      </c>
      <c r="J449" s="19" t="s">
        <v>665</v>
      </c>
      <c r="L449" s="21" t="s">
        <v>2688</v>
      </c>
      <c r="M449" s="10" t="s">
        <v>3550</v>
      </c>
      <c r="N449" s="9" t="s">
        <v>3232</v>
      </c>
      <c r="O449" s="12" t="s">
        <v>1677</v>
      </c>
      <c r="Q449" s="21" t="s">
        <v>1142</v>
      </c>
      <c r="R449" s="10" t="s">
        <v>1142</v>
      </c>
      <c r="S449" s="9" t="s">
        <v>1142</v>
      </c>
      <c r="T449" s="12" t="s">
        <v>1142</v>
      </c>
      <c r="U449" s="5" t="s">
        <v>1142</v>
      </c>
    </row>
    <row r="450" spans="1:21" x14ac:dyDescent="0.2">
      <c r="A450" s="3">
        <v>449</v>
      </c>
      <c r="B450" s="5" t="s">
        <v>117</v>
      </c>
      <c r="C450" s="5" t="s">
        <v>1181</v>
      </c>
      <c r="F450" s="4" t="s">
        <v>843</v>
      </c>
      <c r="G450" s="6" t="s">
        <v>651</v>
      </c>
      <c r="H450" s="6" t="s">
        <v>3657</v>
      </c>
      <c r="I450" s="11" t="s">
        <v>794</v>
      </c>
      <c r="J450" s="19" t="s">
        <v>647</v>
      </c>
      <c r="L450" s="21" t="s">
        <v>2692</v>
      </c>
      <c r="M450" s="10" t="s">
        <v>3770</v>
      </c>
      <c r="N450" s="9" t="s">
        <v>3289</v>
      </c>
      <c r="O450" s="12" t="s">
        <v>2401</v>
      </c>
      <c r="R450" s="10" t="s">
        <v>1713</v>
      </c>
      <c r="T450" s="12" t="s">
        <v>1713</v>
      </c>
      <c r="U450" s="5" t="s">
        <v>1713</v>
      </c>
    </row>
    <row r="451" spans="1:21" x14ac:dyDescent="0.2">
      <c r="A451" s="3">
        <v>450</v>
      </c>
      <c r="B451" s="5" t="s">
        <v>118</v>
      </c>
      <c r="C451" s="5" t="s">
        <v>1181</v>
      </c>
      <c r="F451" s="4" t="s">
        <v>844</v>
      </c>
      <c r="G451" s="6" t="s">
        <v>652</v>
      </c>
      <c r="H451" s="6" t="s">
        <v>3658</v>
      </c>
      <c r="I451" s="11" t="s">
        <v>795</v>
      </c>
      <c r="J451" s="19" t="s">
        <v>648</v>
      </c>
      <c r="L451" s="21" t="s">
        <v>2693</v>
      </c>
      <c r="M451" s="10" t="s">
        <v>3851</v>
      </c>
      <c r="N451" s="9" t="s">
        <v>3289</v>
      </c>
      <c r="O451" s="12" t="s">
        <v>1677</v>
      </c>
      <c r="Q451" s="21" t="s">
        <v>1086</v>
      </c>
      <c r="R451" s="10" t="s">
        <v>1086</v>
      </c>
      <c r="S451" s="9" t="s">
        <v>1086</v>
      </c>
      <c r="T451" s="12" t="s">
        <v>1086</v>
      </c>
      <c r="U451" s="5" t="s">
        <v>1086</v>
      </c>
    </row>
    <row r="452" spans="1:21" x14ac:dyDescent="0.2">
      <c r="A452" s="3">
        <v>451</v>
      </c>
      <c r="B452" s="5" t="s">
        <v>452</v>
      </c>
      <c r="C452" s="5" t="s">
        <v>1169</v>
      </c>
      <c r="D452" s="5" t="s">
        <v>1173</v>
      </c>
      <c r="F452" s="4" t="s">
        <v>814</v>
      </c>
      <c r="G452" s="6" t="s">
        <v>656</v>
      </c>
      <c r="H452" s="6" t="s">
        <v>3659</v>
      </c>
      <c r="L452" s="21" t="s">
        <v>2679</v>
      </c>
      <c r="M452" s="10" t="s">
        <v>3721</v>
      </c>
      <c r="R452" s="10" t="s">
        <v>1713</v>
      </c>
      <c r="U452" s="5" t="s">
        <v>1713</v>
      </c>
    </row>
    <row r="453" spans="1:21" x14ac:dyDescent="0.2">
      <c r="A453" s="3">
        <v>452</v>
      </c>
      <c r="B453" s="5" t="s">
        <v>453</v>
      </c>
      <c r="C453" s="5" t="s">
        <v>1169</v>
      </c>
      <c r="D453" s="5" t="s">
        <v>1270</v>
      </c>
      <c r="F453" s="4" t="s">
        <v>815</v>
      </c>
      <c r="G453" s="6" t="s">
        <v>657</v>
      </c>
      <c r="H453" s="6" t="s">
        <v>3660</v>
      </c>
      <c r="L453" s="21" t="s">
        <v>2680</v>
      </c>
      <c r="M453" s="10" t="s">
        <v>3824</v>
      </c>
      <c r="Q453" s="21" t="s">
        <v>1077</v>
      </c>
      <c r="R453" s="10" t="s">
        <v>1077</v>
      </c>
      <c r="U453" s="5" t="s">
        <v>1077</v>
      </c>
    </row>
    <row r="454" spans="1:21" x14ac:dyDescent="0.2">
      <c r="A454" s="3">
        <v>453</v>
      </c>
      <c r="B454" s="5" t="s">
        <v>396</v>
      </c>
      <c r="C454" s="5" t="s">
        <v>1169</v>
      </c>
      <c r="D454" s="5" t="s">
        <v>1201</v>
      </c>
      <c r="F454" s="4" t="s">
        <v>751</v>
      </c>
      <c r="G454" s="6" t="s">
        <v>658</v>
      </c>
      <c r="H454" s="6" t="s">
        <v>3661</v>
      </c>
      <c r="I454" s="11" t="s">
        <v>704</v>
      </c>
      <c r="L454" s="21" t="s">
        <v>2650</v>
      </c>
      <c r="M454" s="10" t="s">
        <v>3712</v>
      </c>
      <c r="N454" s="9" t="s">
        <v>3239</v>
      </c>
      <c r="R454" s="10" t="s">
        <v>1713</v>
      </c>
      <c r="U454" s="5" t="s">
        <v>1713</v>
      </c>
    </row>
    <row r="455" spans="1:21" x14ac:dyDescent="0.2">
      <c r="A455" s="3">
        <v>454</v>
      </c>
      <c r="B455" s="5" t="s">
        <v>397</v>
      </c>
      <c r="C455" s="5" t="s">
        <v>1169</v>
      </c>
      <c r="D455" s="5" t="s">
        <v>1201</v>
      </c>
      <c r="F455" s="4" t="s">
        <v>752</v>
      </c>
      <c r="G455" s="6" t="s">
        <v>659</v>
      </c>
      <c r="H455" s="6" t="s">
        <v>3662</v>
      </c>
      <c r="I455" s="11" t="s">
        <v>705</v>
      </c>
      <c r="L455" s="21" t="s">
        <v>3550</v>
      </c>
      <c r="M455" s="10" t="s">
        <v>3824</v>
      </c>
      <c r="N455" s="9" t="s">
        <v>3240</v>
      </c>
      <c r="Q455" s="21" t="s">
        <v>1051</v>
      </c>
      <c r="R455" s="10" t="s">
        <v>1051</v>
      </c>
      <c r="S455" s="9" t="s">
        <v>1051</v>
      </c>
      <c r="U455" s="5" t="s">
        <v>1051</v>
      </c>
    </row>
    <row r="456" spans="1:21" x14ac:dyDescent="0.2">
      <c r="A456" s="3">
        <v>455</v>
      </c>
      <c r="B456" s="5" t="s">
        <v>1413</v>
      </c>
      <c r="C456" s="5" t="s">
        <v>1168</v>
      </c>
      <c r="G456" s="6" t="s">
        <v>660</v>
      </c>
      <c r="H456" s="6" t="s">
        <v>3663</v>
      </c>
      <c r="M456" s="10" t="s">
        <v>3852</v>
      </c>
      <c r="R456" s="10" t="s">
        <v>1713</v>
      </c>
      <c r="U456" s="5" t="s">
        <v>1713</v>
      </c>
    </row>
    <row r="457" spans="1:21" x14ac:dyDescent="0.2">
      <c r="A457" s="3">
        <v>456</v>
      </c>
      <c r="B457" s="5" t="s">
        <v>1414</v>
      </c>
      <c r="C457" s="5" t="s">
        <v>1172</v>
      </c>
      <c r="G457" s="6" t="s">
        <v>663</v>
      </c>
      <c r="H457" s="6" t="s">
        <v>3664</v>
      </c>
      <c r="I457" s="11" t="s">
        <v>862</v>
      </c>
      <c r="M457" s="10" t="s">
        <v>3771</v>
      </c>
      <c r="N457" s="9" t="s">
        <v>3342</v>
      </c>
      <c r="R457" s="10" t="s">
        <v>1713</v>
      </c>
      <c r="U457" s="5" t="s">
        <v>1713</v>
      </c>
    </row>
    <row r="458" spans="1:21" x14ac:dyDescent="0.2">
      <c r="A458" s="3">
        <v>457</v>
      </c>
      <c r="B458" s="5" t="s">
        <v>1415</v>
      </c>
      <c r="C458" s="5" t="s">
        <v>1172</v>
      </c>
      <c r="G458" s="6" t="s">
        <v>664</v>
      </c>
      <c r="H458" s="6" t="s">
        <v>3665</v>
      </c>
      <c r="I458" s="11" t="s">
        <v>863</v>
      </c>
      <c r="M458" s="10" t="s">
        <v>3772</v>
      </c>
      <c r="N458" s="9" t="s">
        <v>3342</v>
      </c>
      <c r="R458" s="10" t="s">
        <v>3011</v>
      </c>
      <c r="S458" s="9" t="s">
        <v>3011</v>
      </c>
      <c r="U458" s="5" t="s">
        <v>3011</v>
      </c>
    </row>
    <row r="459" spans="1:21" x14ac:dyDescent="0.2">
      <c r="A459" s="3">
        <v>458</v>
      </c>
      <c r="B459" s="5" t="s">
        <v>498</v>
      </c>
      <c r="C459" s="5" t="s">
        <v>1172</v>
      </c>
      <c r="D459" s="5" t="s">
        <v>1171</v>
      </c>
      <c r="F459" s="4" t="s">
        <v>883</v>
      </c>
      <c r="G459" s="6" t="s">
        <v>669</v>
      </c>
      <c r="H459" s="6" t="s">
        <v>3666</v>
      </c>
      <c r="L459" s="21" t="s">
        <v>2702</v>
      </c>
      <c r="M459" s="10" t="s">
        <v>3740</v>
      </c>
      <c r="R459" s="10" t="s">
        <v>1713</v>
      </c>
      <c r="U459" s="5" t="s">
        <v>1713</v>
      </c>
    </row>
    <row r="460" spans="1:21" x14ac:dyDescent="0.2">
      <c r="A460" s="3">
        <v>459</v>
      </c>
      <c r="B460" s="5" t="s">
        <v>171</v>
      </c>
      <c r="C460" s="5" t="s">
        <v>1168</v>
      </c>
      <c r="D460" s="5" t="s">
        <v>1220</v>
      </c>
      <c r="F460" s="4" t="s">
        <v>625</v>
      </c>
      <c r="G460" s="6" t="s">
        <v>671</v>
      </c>
      <c r="H460" s="6" t="s">
        <v>3667</v>
      </c>
      <c r="I460" s="11" t="s">
        <v>881</v>
      </c>
      <c r="J460" s="19" t="s">
        <v>701</v>
      </c>
      <c r="L460" s="21" t="s">
        <v>2565</v>
      </c>
      <c r="M460" s="10" t="s">
        <v>3853</v>
      </c>
      <c r="N460" s="9" t="s">
        <v>3355</v>
      </c>
      <c r="O460" s="12" t="s">
        <v>1692</v>
      </c>
      <c r="R460" s="10" t="s">
        <v>1713</v>
      </c>
      <c r="T460" s="12" t="s">
        <v>1713</v>
      </c>
      <c r="U460" s="5" t="s">
        <v>1713</v>
      </c>
    </row>
    <row r="461" spans="1:21" x14ac:dyDescent="0.2">
      <c r="A461" s="3">
        <v>460</v>
      </c>
      <c r="B461" s="5" t="s">
        <v>172</v>
      </c>
      <c r="C461" s="5" t="s">
        <v>1168</v>
      </c>
      <c r="D461" s="5" t="s">
        <v>1220</v>
      </c>
      <c r="F461" s="4" t="s">
        <v>626</v>
      </c>
      <c r="G461" s="6" t="s">
        <v>672</v>
      </c>
      <c r="H461" s="6" t="s">
        <v>3668</v>
      </c>
      <c r="I461" s="11" t="s">
        <v>882</v>
      </c>
      <c r="J461" s="19" t="s">
        <v>702</v>
      </c>
      <c r="L461" s="21" t="s">
        <v>2579</v>
      </c>
      <c r="M461" s="10" t="s">
        <v>3853</v>
      </c>
      <c r="N461" s="9" t="s">
        <v>3356</v>
      </c>
      <c r="O461" s="12" t="s">
        <v>1804</v>
      </c>
      <c r="Q461" s="21" t="s">
        <v>997</v>
      </c>
      <c r="R461" s="10" t="s">
        <v>997</v>
      </c>
      <c r="S461" s="9" t="s">
        <v>997</v>
      </c>
      <c r="T461" s="12" t="s">
        <v>997</v>
      </c>
      <c r="U461" s="5" t="s">
        <v>997</v>
      </c>
    </row>
    <row r="462" spans="1:21" x14ac:dyDescent="0.2">
      <c r="A462" s="3">
        <v>461</v>
      </c>
      <c r="B462" s="5" t="s">
        <v>455</v>
      </c>
      <c r="C462" s="5" t="s">
        <v>1270</v>
      </c>
      <c r="D462" s="5" t="s">
        <v>1220</v>
      </c>
      <c r="F462" s="4" t="s">
        <v>822</v>
      </c>
      <c r="G462" s="6" t="s">
        <v>674</v>
      </c>
      <c r="H462" s="6" t="s">
        <v>3669</v>
      </c>
      <c r="I462" s="11" t="s">
        <v>760</v>
      </c>
      <c r="L462" s="21" t="s">
        <v>2683</v>
      </c>
      <c r="M462" s="10" t="s">
        <v>3550</v>
      </c>
      <c r="N462" s="9" t="s">
        <v>3281</v>
      </c>
      <c r="Q462" s="21" t="s">
        <v>1080</v>
      </c>
      <c r="R462" s="10" t="s">
        <v>1080</v>
      </c>
      <c r="S462" s="9" t="s">
        <v>1080</v>
      </c>
      <c r="U462" s="5" t="s">
        <v>1080</v>
      </c>
    </row>
    <row r="463" spans="1:21" x14ac:dyDescent="0.2">
      <c r="A463" s="3">
        <v>462</v>
      </c>
      <c r="B463" s="5" t="s">
        <v>1416</v>
      </c>
      <c r="C463" s="5" t="s">
        <v>1179</v>
      </c>
      <c r="D463" s="5" t="s">
        <v>1214</v>
      </c>
      <c r="G463" s="6" t="s">
        <v>1713</v>
      </c>
      <c r="H463" s="6" t="s">
        <v>3670</v>
      </c>
      <c r="I463" s="11" t="s">
        <v>740</v>
      </c>
      <c r="M463" s="10" t="s">
        <v>3550</v>
      </c>
      <c r="N463" s="9" t="s">
        <v>3550</v>
      </c>
      <c r="R463" s="10" t="s">
        <v>3018</v>
      </c>
      <c r="S463" s="9" t="s">
        <v>3018</v>
      </c>
      <c r="U463" s="5" t="s">
        <v>3018</v>
      </c>
    </row>
    <row r="464" spans="1:21" x14ac:dyDescent="0.2">
      <c r="A464" s="3">
        <v>463</v>
      </c>
      <c r="B464" s="5" t="s">
        <v>1417</v>
      </c>
      <c r="C464" s="5" t="s">
        <v>1174</v>
      </c>
      <c r="G464" s="6" t="s">
        <v>1713</v>
      </c>
      <c r="H464" s="6" t="s">
        <v>3671</v>
      </c>
      <c r="M464" s="10" t="s">
        <v>3550</v>
      </c>
      <c r="R464" s="10" t="s">
        <v>3602</v>
      </c>
      <c r="U464" s="5" t="s">
        <v>3602</v>
      </c>
    </row>
    <row r="465" spans="1:21" x14ac:dyDescent="0.2">
      <c r="A465" s="3">
        <v>464</v>
      </c>
      <c r="B465" s="5" t="s">
        <v>433</v>
      </c>
      <c r="C465" s="5" t="s">
        <v>1181</v>
      </c>
      <c r="D465" s="5" t="s">
        <v>1210</v>
      </c>
      <c r="F465" s="4" t="s">
        <v>795</v>
      </c>
      <c r="G465" s="6" t="s">
        <v>1713</v>
      </c>
      <c r="H465" s="6" t="s">
        <v>3672</v>
      </c>
      <c r="L465" s="21" t="s">
        <v>1138</v>
      </c>
      <c r="M465" s="10" t="s">
        <v>3550</v>
      </c>
      <c r="Q465" s="21" t="s">
        <v>1068</v>
      </c>
      <c r="R465" s="10" t="s">
        <v>1068</v>
      </c>
      <c r="U465" s="5" t="s">
        <v>1068</v>
      </c>
    </row>
    <row r="466" spans="1:21" x14ac:dyDescent="0.2">
      <c r="A466" s="3">
        <v>465</v>
      </c>
      <c r="B466" s="5" t="s">
        <v>1418</v>
      </c>
      <c r="C466" s="5" t="s">
        <v>1168</v>
      </c>
      <c r="G466" s="6" t="s">
        <v>1713</v>
      </c>
      <c r="H466" s="6" t="s">
        <v>3673</v>
      </c>
      <c r="M466" s="10" t="s">
        <v>3712</v>
      </c>
      <c r="R466" s="10" t="s">
        <v>3603</v>
      </c>
      <c r="U466" s="5" t="s">
        <v>3603</v>
      </c>
    </row>
    <row r="467" spans="1:21" x14ac:dyDescent="0.2">
      <c r="A467" s="3">
        <v>466</v>
      </c>
      <c r="B467" s="5" t="s">
        <v>1419</v>
      </c>
      <c r="C467" s="5" t="s">
        <v>1179</v>
      </c>
      <c r="G467" s="6" t="s">
        <v>1713</v>
      </c>
      <c r="H467" s="6" t="s">
        <v>3674</v>
      </c>
      <c r="M467" s="10" t="s">
        <v>3550</v>
      </c>
      <c r="R467" s="10" t="s">
        <v>3604</v>
      </c>
      <c r="U467" s="5" t="s">
        <v>3604</v>
      </c>
    </row>
    <row r="468" spans="1:21" x14ac:dyDescent="0.2">
      <c r="A468" s="3">
        <v>467</v>
      </c>
      <c r="B468" s="5" t="s">
        <v>1420</v>
      </c>
      <c r="C468" s="5" t="s">
        <v>1170</v>
      </c>
      <c r="G468" s="6" t="s">
        <v>1713</v>
      </c>
      <c r="H468" s="6" t="s">
        <v>3675</v>
      </c>
      <c r="M468" s="10" t="s">
        <v>3550</v>
      </c>
      <c r="R468" s="10" t="s">
        <v>3605</v>
      </c>
      <c r="U468" s="5" t="s">
        <v>3605</v>
      </c>
    </row>
    <row r="469" spans="1:21" x14ac:dyDescent="0.2">
      <c r="A469" s="3">
        <v>468</v>
      </c>
      <c r="B469" s="5" t="s">
        <v>426</v>
      </c>
      <c r="C469" s="5" t="s">
        <v>1189</v>
      </c>
      <c r="D469" s="5" t="s">
        <v>1171</v>
      </c>
      <c r="F469" s="4" t="s">
        <v>788</v>
      </c>
      <c r="G469" s="6" t="s">
        <v>1713</v>
      </c>
      <c r="H469" s="6" t="s">
        <v>3676</v>
      </c>
      <c r="L469" s="21" t="s">
        <v>2734</v>
      </c>
      <c r="M469" s="10" t="s">
        <v>3550</v>
      </c>
      <c r="Q469" s="21" t="s">
        <v>1065</v>
      </c>
      <c r="R469" s="10" t="s">
        <v>1065</v>
      </c>
      <c r="U469" s="5" t="s">
        <v>1065</v>
      </c>
    </row>
    <row r="470" spans="1:21" x14ac:dyDescent="0.2">
      <c r="A470" s="3">
        <v>469</v>
      </c>
      <c r="B470" s="5" t="s">
        <v>1421</v>
      </c>
      <c r="C470" s="5" t="s">
        <v>1173</v>
      </c>
      <c r="D470" s="5" t="s">
        <v>1171</v>
      </c>
      <c r="G470" s="6" t="s">
        <v>1713</v>
      </c>
      <c r="H470" s="6" t="s">
        <v>3677</v>
      </c>
      <c r="M470" s="10" t="s">
        <v>3550</v>
      </c>
      <c r="R470" s="10" t="s">
        <v>3580</v>
      </c>
      <c r="U470" s="5" t="s">
        <v>3580</v>
      </c>
    </row>
    <row r="471" spans="1:21" x14ac:dyDescent="0.2">
      <c r="A471" s="3">
        <v>470</v>
      </c>
      <c r="B471" s="5" t="s">
        <v>105</v>
      </c>
      <c r="C471" s="5" t="s">
        <v>1168</v>
      </c>
      <c r="F471" s="4" t="s">
        <v>731</v>
      </c>
      <c r="G471" s="6" t="s">
        <v>1713</v>
      </c>
      <c r="H471" s="6" t="s">
        <v>3678</v>
      </c>
      <c r="I471" s="11" t="s">
        <v>714</v>
      </c>
      <c r="J471" s="19" t="s">
        <v>635</v>
      </c>
      <c r="L471" s="21" t="s">
        <v>2639</v>
      </c>
      <c r="M471" s="10" t="s">
        <v>3550</v>
      </c>
      <c r="N471" s="9" t="s">
        <v>3242</v>
      </c>
      <c r="O471" s="12" t="s">
        <v>1804</v>
      </c>
      <c r="Q471" s="21" t="s">
        <v>1130</v>
      </c>
      <c r="R471" s="10" t="s">
        <v>1130</v>
      </c>
      <c r="S471" s="9" t="s">
        <v>1130</v>
      </c>
      <c r="T471" s="12" t="s">
        <v>1130</v>
      </c>
      <c r="U471" s="5" t="s">
        <v>1130</v>
      </c>
    </row>
    <row r="472" spans="1:21" x14ac:dyDescent="0.2">
      <c r="A472" s="3">
        <v>471</v>
      </c>
      <c r="B472" s="5" t="s">
        <v>106</v>
      </c>
      <c r="C472" s="5" t="s">
        <v>1220</v>
      </c>
      <c r="F472" s="4" t="s">
        <v>732</v>
      </c>
      <c r="G472" s="6" t="s">
        <v>1713</v>
      </c>
      <c r="H472" s="6" t="s">
        <v>3679</v>
      </c>
      <c r="I472" s="11" t="s">
        <v>715</v>
      </c>
      <c r="J472" s="19" t="s">
        <v>636</v>
      </c>
      <c r="L472" s="21" t="s">
        <v>2640</v>
      </c>
      <c r="M472" s="10" t="s">
        <v>3550</v>
      </c>
      <c r="N472" s="9" t="s">
        <v>3245</v>
      </c>
      <c r="O472" s="12" t="s">
        <v>1804</v>
      </c>
      <c r="Q472" s="21" t="s">
        <v>1131</v>
      </c>
      <c r="R472" s="10" t="s">
        <v>1131</v>
      </c>
      <c r="S472" s="9" t="s">
        <v>1131</v>
      </c>
      <c r="T472" s="12" t="s">
        <v>1131</v>
      </c>
      <c r="U472" s="5" t="s">
        <v>1131</v>
      </c>
    </row>
    <row r="473" spans="1:21" x14ac:dyDescent="0.2">
      <c r="A473" s="3">
        <v>472</v>
      </c>
      <c r="B473" s="5" t="s">
        <v>1422</v>
      </c>
      <c r="C473" s="5" t="s">
        <v>1181</v>
      </c>
      <c r="D473" s="5" t="s">
        <v>1171</v>
      </c>
      <c r="G473" s="6" t="s">
        <v>1713</v>
      </c>
      <c r="H473" s="6" t="s">
        <v>3680</v>
      </c>
      <c r="M473" s="10" t="s">
        <v>3550</v>
      </c>
      <c r="R473" s="10" t="s">
        <v>3606</v>
      </c>
      <c r="U473" s="5" t="s">
        <v>3606</v>
      </c>
    </row>
    <row r="474" spans="1:21" x14ac:dyDescent="0.2">
      <c r="A474" s="3">
        <v>473</v>
      </c>
      <c r="B474" s="5" t="s">
        <v>298</v>
      </c>
      <c r="C474" s="5" t="s">
        <v>1220</v>
      </c>
      <c r="D474" s="5" t="s">
        <v>1181</v>
      </c>
      <c r="F474" s="4" t="s">
        <v>606</v>
      </c>
      <c r="G474" s="6" t="s">
        <v>1713</v>
      </c>
      <c r="H474" s="6" t="s">
        <v>3681</v>
      </c>
      <c r="L474" s="21" t="s">
        <v>2563</v>
      </c>
      <c r="M474" s="10" t="s">
        <v>3550</v>
      </c>
      <c r="Q474" s="21" t="s">
        <v>2389</v>
      </c>
      <c r="R474" s="10" t="s">
        <v>2389</v>
      </c>
      <c r="U474" s="5" t="s">
        <v>2389</v>
      </c>
    </row>
    <row r="475" spans="1:21" x14ac:dyDescent="0.2">
      <c r="A475" s="3">
        <v>474</v>
      </c>
      <c r="B475" s="5" t="s">
        <v>1423</v>
      </c>
      <c r="C475" s="5" t="s">
        <v>1174</v>
      </c>
      <c r="G475" s="6" t="s">
        <v>1713</v>
      </c>
      <c r="H475" s="6" t="s">
        <v>3682</v>
      </c>
      <c r="M475" s="10" t="s">
        <v>3550</v>
      </c>
      <c r="R475" s="10" t="s">
        <v>3607</v>
      </c>
      <c r="U475" s="5" t="s">
        <v>3607</v>
      </c>
    </row>
    <row r="476" spans="1:21" x14ac:dyDescent="0.2">
      <c r="A476" s="3">
        <v>475</v>
      </c>
      <c r="B476" s="5" t="s">
        <v>89</v>
      </c>
      <c r="C476" s="5" t="s">
        <v>1206</v>
      </c>
      <c r="D476" s="5" t="s">
        <v>1201</v>
      </c>
      <c r="F476" s="4" t="s">
        <v>652</v>
      </c>
      <c r="G476" s="6" t="s">
        <v>1713</v>
      </c>
      <c r="H476" s="6" t="s">
        <v>3683</v>
      </c>
      <c r="I476" s="11" t="s">
        <v>594</v>
      </c>
      <c r="J476" s="19" t="s">
        <v>619</v>
      </c>
      <c r="L476" s="21" t="s">
        <v>2598</v>
      </c>
      <c r="M476" s="10" t="s">
        <v>3550</v>
      </c>
      <c r="N476" s="9" t="s">
        <v>3154</v>
      </c>
      <c r="O476" s="12" t="s">
        <v>1804</v>
      </c>
      <c r="Q476" s="21" t="s">
        <v>2496</v>
      </c>
      <c r="R476" s="10" t="s">
        <v>2496</v>
      </c>
      <c r="S476" s="9" t="s">
        <v>2496</v>
      </c>
      <c r="T476" s="12" t="s">
        <v>2496</v>
      </c>
      <c r="U476" s="5" t="s">
        <v>2496</v>
      </c>
    </row>
    <row r="477" spans="1:21" x14ac:dyDescent="0.2">
      <c r="A477" s="3">
        <v>476</v>
      </c>
      <c r="B477" s="5" t="s">
        <v>1424</v>
      </c>
      <c r="C477" s="5" t="s">
        <v>1210</v>
      </c>
      <c r="D477" s="5" t="s">
        <v>1214</v>
      </c>
      <c r="G477" s="6" t="s">
        <v>1713</v>
      </c>
      <c r="H477" s="6" t="s">
        <v>3684</v>
      </c>
      <c r="M477" s="10" t="s">
        <v>3550</v>
      </c>
      <c r="R477" s="10" t="s">
        <v>3594</v>
      </c>
      <c r="U477" s="5" t="s">
        <v>3594</v>
      </c>
    </row>
    <row r="478" spans="1:21" x14ac:dyDescent="0.2">
      <c r="A478" s="3">
        <v>477</v>
      </c>
      <c r="B478" s="5" t="s">
        <v>348</v>
      </c>
      <c r="C478" s="5" t="s">
        <v>1223</v>
      </c>
      <c r="F478" s="4" t="s">
        <v>666</v>
      </c>
      <c r="G478" s="6" t="s">
        <v>1713</v>
      </c>
      <c r="H478" s="6" t="s">
        <v>3685</v>
      </c>
      <c r="L478" s="21" t="s">
        <v>2608</v>
      </c>
      <c r="M478" s="10" t="s">
        <v>3550</v>
      </c>
      <c r="Q478" s="21" t="s">
        <v>1014</v>
      </c>
      <c r="R478" s="10" t="s">
        <v>1014</v>
      </c>
      <c r="U478" s="5" t="s">
        <v>1014</v>
      </c>
    </row>
    <row r="479" spans="1:21" x14ac:dyDescent="0.2">
      <c r="A479" s="3">
        <v>478</v>
      </c>
      <c r="B479" s="5" t="s">
        <v>170</v>
      </c>
      <c r="C479" s="5" t="s">
        <v>1220</v>
      </c>
      <c r="D479" s="5" t="s">
        <v>1223</v>
      </c>
      <c r="F479" s="4" t="s">
        <v>610</v>
      </c>
      <c r="G479" s="6" t="s">
        <v>1713</v>
      </c>
      <c r="H479" s="6" t="s">
        <v>3686</v>
      </c>
      <c r="I479" s="11" t="s">
        <v>888</v>
      </c>
      <c r="J479" s="19" t="s">
        <v>700</v>
      </c>
      <c r="L479" s="21" t="s">
        <v>2566</v>
      </c>
      <c r="M479" s="10" t="s">
        <v>3550</v>
      </c>
      <c r="N479" s="9" t="s">
        <v>3361</v>
      </c>
      <c r="O479" s="12" t="s">
        <v>1804</v>
      </c>
      <c r="Q479" s="21" t="s">
        <v>1743</v>
      </c>
      <c r="R479" s="10" t="s">
        <v>1743</v>
      </c>
      <c r="S479" s="9" t="s">
        <v>1743</v>
      </c>
      <c r="T479" s="12" t="s">
        <v>1743</v>
      </c>
      <c r="U479" s="5" t="s">
        <v>1743</v>
      </c>
    </row>
    <row r="480" spans="1:21" x14ac:dyDescent="0.2">
      <c r="A480" s="3">
        <v>479</v>
      </c>
      <c r="B480" s="5" t="s">
        <v>512</v>
      </c>
      <c r="C480" s="5" t="s">
        <v>1179</v>
      </c>
      <c r="D480" s="5" t="s">
        <v>1223</v>
      </c>
      <c r="F480" s="4" t="s">
        <v>901</v>
      </c>
      <c r="G480" s="6" t="s">
        <v>1713</v>
      </c>
      <c r="H480" s="6" t="s">
        <v>3687</v>
      </c>
      <c r="I480" s="11" t="s">
        <v>839</v>
      </c>
      <c r="L480" s="21" t="s">
        <v>2765</v>
      </c>
      <c r="M480" s="10" t="s">
        <v>3817</v>
      </c>
      <c r="N480" s="9" t="s">
        <v>3325</v>
      </c>
      <c r="R480" s="10" t="s">
        <v>1713</v>
      </c>
      <c r="U480" s="5" t="s">
        <v>1713</v>
      </c>
    </row>
    <row r="481" spans="1:21" x14ac:dyDescent="0.2">
      <c r="A481" s="3">
        <v>480</v>
      </c>
      <c r="B481" s="5" t="s">
        <v>1425</v>
      </c>
      <c r="C481" s="5" t="s">
        <v>1206</v>
      </c>
      <c r="G481" s="6" t="s">
        <v>675</v>
      </c>
      <c r="H481" s="6" t="s">
        <v>3688</v>
      </c>
      <c r="M481" s="10" t="s">
        <v>3773</v>
      </c>
      <c r="R481" s="10" t="s">
        <v>1713</v>
      </c>
      <c r="U481" s="5" t="s">
        <v>1713</v>
      </c>
    </row>
    <row r="482" spans="1:21" x14ac:dyDescent="0.2">
      <c r="A482" s="3">
        <v>481</v>
      </c>
      <c r="B482" s="5" t="s">
        <v>1426</v>
      </c>
      <c r="C482" s="5" t="s">
        <v>1206</v>
      </c>
      <c r="G482" s="6" t="s">
        <v>676</v>
      </c>
      <c r="H482" s="6" t="s">
        <v>3689</v>
      </c>
      <c r="M482" s="10" t="s">
        <v>3774</v>
      </c>
      <c r="R482" s="10" t="s">
        <v>1713</v>
      </c>
      <c r="U482" s="5" t="s">
        <v>1713</v>
      </c>
    </row>
    <row r="483" spans="1:21" x14ac:dyDescent="0.2">
      <c r="A483" s="3">
        <v>482</v>
      </c>
      <c r="B483" s="5" t="s">
        <v>1427</v>
      </c>
      <c r="C483" s="5" t="s">
        <v>1206</v>
      </c>
      <c r="G483" s="6" t="s">
        <v>677</v>
      </c>
      <c r="H483" s="6" t="s">
        <v>3690</v>
      </c>
      <c r="M483" s="10" t="s">
        <v>3775</v>
      </c>
      <c r="R483" s="10" t="s">
        <v>1713</v>
      </c>
      <c r="U483" s="5" t="s">
        <v>1713</v>
      </c>
    </row>
    <row r="484" spans="1:21" x14ac:dyDescent="0.2">
      <c r="A484" s="3">
        <v>483</v>
      </c>
      <c r="B484" s="5" t="s">
        <v>1428</v>
      </c>
      <c r="C484" s="5" t="s">
        <v>1214</v>
      </c>
      <c r="D484" s="5" t="s">
        <v>1249</v>
      </c>
      <c r="G484" s="6" t="s">
        <v>678</v>
      </c>
      <c r="H484" s="6" t="s">
        <v>3691</v>
      </c>
      <c r="M484" s="10" t="s">
        <v>3807</v>
      </c>
      <c r="R484" s="10" t="s">
        <v>1713</v>
      </c>
      <c r="U484" s="5" t="s">
        <v>1713</v>
      </c>
    </row>
    <row r="485" spans="1:21" x14ac:dyDescent="0.2">
      <c r="A485" s="3">
        <v>484</v>
      </c>
      <c r="B485" s="5" t="s">
        <v>1429</v>
      </c>
      <c r="C485" s="5" t="s">
        <v>1172</v>
      </c>
      <c r="D485" s="5" t="s">
        <v>1249</v>
      </c>
      <c r="G485" s="6" t="s">
        <v>679</v>
      </c>
      <c r="H485" s="6" t="s">
        <v>3692</v>
      </c>
      <c r="M485" s="10" t="s">
        <v>3795</v>
      </c>
      <c r="R485" s="10" t="s">
        <v>1713</v>
      </c>
      <c r="U485" s="5" t="s">
        <v>1713</v>
      </c>
    </row>
    <row r="486" spans="1:21" x14ac:dyDescent="0.2">
      <c r="A486" s="3">
        <v>485</v>
      </c>
      <c r="B486" s="5" t="s">
        <v>1430</v>
      </c>
      <c r="C486" s="5" t="s">
        <v>1170</v>
      </c>
      <c r="D486" s="5" t="s">
        <v>1214</v>
      </c>
      <c r="G486" s="6" t="s">
        <v>1713</v>
      </c>
      <c r="H486" s="6" t="s">
        <v>3693</v>
      </c>
      <c r="M486" s="10" t="s">
        <v>3776</v>
      </c>
      <c r="R486" s="10" t="s">
        <v>1713</v>
      </c>
      <c r="U486" s="5" t="s">
        <v>1713</v>
      </c>
    </row>
    <row r="487" spans="1:21" x14ac:dyDescent="0.2">
      <c r="A487" s="3">
        <v>486</v>
      </c>
      <c r="B487" s="5" t="s">
        <v>1431</v>
      </c>
      <c r="C487" s="5" t="s">
        <v>1174</v>
      </c>
      <c r="G487" s="6" t="s">
        <v>1713</v>
      </c>
      <c r="H487" s="6" t="s">
        <v>3694</v>
      </c>
      <c r="M487" s="10" t="s">
        <v>3777</v>
      </c>
      <c r="R487" s="10" t="s">
        <v>1713</v>
      </c>
      <c r="U487" s="5" t="s">
        <v>1713</v>
      </c>
    </row>
    <row r="488" spans="1:21" x14ac:dyDescent="0.2">
      <c r="A488" s="3">
        <v>487</v>
      </c>
      <c r="B488" s="5" t="s">
        <v>1432</v>
      </c>
      <c r="C488" s="5" t="s">
        <v>1223</v>
      </c>
      <c r="D488" s="5" t="s">
        <v>1249</v>
      </c>
      <c r="G488" s="6" t="s">
        <v>1713</v>
      </c>
      <c r="H488" s="6" t="s">
        <v>3695</v>
      </c>
      <c r="M488" s="10" t="s">
        <v>3778</v>
      </c>
      <c r="R488" s="10" t="s">
        <v>1713</v>
      </c>
      <c r="U488" s="5" t="s">
        <v>1713</v>
      </c>
    </row>
    <row r="489" spans="1:21" x14ac:dyDescent="0.2">
      <c r="A489" s="3">
        <v>488</v>
      </c>
      <c r="B489" s="5" t="s">
        <v>1433</v>
      </c>
      <c r="C489" s="5" t="s">
        <v>1206</v>
      </c>
      <c r="G489" s="6" t="s">
        <v>1713</v>
      </c>
      <c r="H489" s="6" t="s">
        <v>3696</v>
      </c>
      <c r="M489" s="10" t="s">
        <v>3779</v>
      </c>
      <c r="R489" s="10" t="s">
        <v>1713</v>
      </c>
      <c r="U489" s="5" t="s">
        <v>1713</v>
      </c>
    </row>
    <row r="490" spans="1:21" x14ac:dyDescent="0.2">
      <c r="A490" s="3">
        <v>489</v>
      </c>
      <c r="B490" s="5" t="s">
        <v>1434</v>
      </c>
      <c r="C490" s="5" t="s">
        <v>1172</v>
      </c>
      <c r="G490" s="6" t="s">
        <v>1713</v>
      </c>
      <c r="H490" s="6" t="s">
        <v>3697</v>
      </c>
      <c r="M490" s="10" t="s">
        <v>3550</v>
      </c>
      <c r="R490" s="10" t="s">
        <v>3560</v>
      </c>
      <c r="U490" s="5" t="s">
        <v>3560</v>
      </c>
    </row>
    <row r="491" spans="1:21" x14ac:dyDescent="0.2">
      <c r="A491" s="3">
        <v>490</v>
      </c>
      <c r="B491" s="5" t="s">
        <v>1435</v>
      </c>
      <c r="C491" s="5" t="s">
        <v>1172</v>
      </c>
      <c r="G491" s="6" t="s">
        <v>680</v>
      </c>
      <c r="H491" s="6" t="s">
        <v>3698</v>
      </c>
      <c r="M491" s="10" t="s">
        <v>1138</v>
      </c>
      <c r="R491" s="10" t="s">
        <v>1713</v>
      </c>
      <c r="U491" s="5" t="s">
        <v>1713</v>
      </c>
    </row>
    <row r="492" spans="1:21" x14ac:dyDescent="0.2">
      <c r="A492" s="3">
        <v>491</v>
      </c>
      <c r="B492" s="5" t="s">
        <v>1436</v>
      </c>
      <c r="C492" s="5" t="s">
        <v>1270</v>
      </c>
      <c r="G492" s="6" t="s">
        <v>1713</v>
      </c>
      <c r="H492" s="6" t="s">
        <v>3699</v>
      </c>
      <c r="M492" s="10" t="s">
        <v>1138</v>
      </c>
      <c r="R492" s="10" t="s">
        <v>1713</v>
      </c>
      <c r="U492" s="5" t="s">
        <v>1713</v>
      </c>
    </row>
    <row r="493" spans="1:21" x14ac:dyDescent="0.2">
      <c r="A493" s="3">
        <v>492</v>
      </c>
      <c r="B493" s="5" t="s">
        <v>1437</v>
      </c>
      <c r="C493" s="5" t="s">
        <v>1168</v>
      </c>
      <c r="G493" s="6" t="s">
        <v>1713</v>
      </c>
      <c r="H493" s="6" t="s">
        <v>3700</v>
      </c>
      <c r="M493" s="10" t="s">
        <v>1138</v>
      </c>
      <c r="R493" s="10" t="s">
        <v>1713</v>
      </c>
      <c r="U493" s="5" t="s">
        <v>1713</v>
      </c>
    </row>
    <row r="494" spans="1:21" x14ac:dyDescent="0.2">
      <c r="A494" s="3">
        <v>493</v>
      </c>
      <c r="B494" s="5" t="s">
        <v>1438</v>
      </c>
      <c r="C494" s="5" t="s">
        <v>1174</v>
      </c>
      <c r="G494" s="6" t="s">
        <v>1713</v>
      </c>
      <c r="H494" s="6" t="s">
        <v>3701</v>
      </c>
      <c r="M494" s="10" t="s">
        <v>3561</v>
      </c>
      <c r="R494" s="10" t="s">
        <v>1713</v>
      </c>
      <c r="U494" s="5" t="s">
        <v>1713</v>
      </c>
    </row>
    <row r="495" spans="1:21" x14ac:dyDescent="0.2">
      <c r="A495" s="3">
        <v>494</v>
      </c>
      <c r="B495" s="5" t="s">
        <v>1439</v>
      </c>
      <c r="C495" s="5" t="s">
        <v>1206</v>
      </c>
      <c r="D495" s="5" t="s">
        <v>1170</v>
      </c>
      <c r="U495" s="5" t="s">
        <v>1713</v>
      </c>
    </row>
    <row r="496" spans="1:21" x14ac:dyDescent="0.2">
      <c r="A496" s="3">
        <v>495</v>
      </c>
      <c r="B496" s="5" t="s">
        <v>1440</v>
      </c>
      <c r="C496" s="5" t="s">
        <v>1168</v>
      </c>
      <c r="U496" s="5" t="s">
        <v>1713</v>
      </c>
    </row>
    <row r="497" spans="1:21" x14ac:dyDescent="0.2">
      <c r="A497" s="3">
        <v>496</v>
      </c>
      <c r="B497" s="5" t="s">
        <v>1441</v>
      </c>
      <c r="C497" s="5" t="s">
        <v>1168</v>
      </c>
      <c r="U497" s="5" t="s">
        <v>1713</v>
      </c>
    </row>
    <row r="498" spans="1:21" x14ac:dyDescent="0.2">
      <c r="A498" s="3">
        <v>497</v>
      </c>
      <c r="B498" s="5" t="s">
        <v>1442</v>
      </c>
      <c r="C498" s="5" t="s">
        <v>1168</v>
      </c>
      <c r="U498" s="5" t="s">
        <v>1713</v>
      </c>
    </row>
    <row r="499" spans="1:21" x14ac:dyDescent="0.2">
      <c r="A499" s="3">
        <v>498</v>
      </c>
      <c r="B499" s="5" t="s">
        <v>3</v>
      </c>
      <c r="C499" s="5" t="s">
        <v>1170</v>
      </c>
      <c r="J499" s="19" t="s">
        <v>933</v>
      </c>
      <c r="O499" s="12" t="s">
        <v>1677</v>
      </c>
      <c r="T499" s="12" t="s">
        <v>1713</v>
      </c>
      <c r="U499" s="5" t="s">
        <v>1713</v>
      </c>
    </row>
    <row r="500" spans="1:21" x14ac:dyDescent="0.2">
      <c r="A500" s="3">
        <v>499</v>
      </c>
      <c r="B500" s="5" t="s">
        <v>4</v>
      </c>
      <c r="C500" s="5" t="s">
        <v>1170</v>
      </c>
      <c r="D500" s="5" t="s">
        <v>1201</v>
      </c>
      <c r="J500" s="19" t="s">
        <v>934</v>
      </c>
      <c r="O500" s="12" t="s">
        <v>1804</v>
      </c>
      <c r="T500" s="12" t="s">
        <v>1716</v>
      </c>
      <c r="U500" s="5" t="s">
        <v>1716</v>
      </c>
    </row>
    <row r="501" spans="1:21" x14ac:dyDescent="0.2">
      <c r="A501" s="3">
        <v>500</v>
      </c>
      <c r="B501" s="5" t="s">
        <v>5</v>
      </c>
      <c r="C501" s="5" t="s">
        <v>1170</v>
      </c>
      <c r="D501" s="5" t="s">
        <v>1201</v>
      </c>
      <c r="J501" s="19" t="s">
        <v>935</v>
      </c>
      <c r="O501" s="12" t="s">
        <v>1804</v>
      </c>
      <c r="T501" s="12" t="s">
        <v>1717</v>
      </c>
      <c r="U501" s="5" t="s">
        <v>1717</v>
      </c>
    </row>
    <row r="502" spans="1:21" x14ac:dyDescent="0.2">
      <c r="A502" s="3">
        <v>501</v>
      </c>
      <c r="B502" s="5" t="s">
        <v>1443</v>
      </c>
      <c r="C502" s="5" t="s">
        <v>1172</v>
      </c>
      <c r="U502" s="5" t="s">
        <v>1713</v>
      </c>
    </row>
    <row r="503" spans="1:21" x14ac:dyDescent="0.2">
      <c r="A503" s="3">
        <v>502</v>
      </c>
      <c r="B503" s="5" t="s">
        <v>1444</v>
      </c>
      <c r="C503" s="5" t="s">
        <v>1172</v>
      </c>
      <c r="U503" s="5" t="s">
        <v>1713</v>
      </c>
    </row>
    <row r="504" spans="1:21" x14ac:dyDescent="0.2">
      <c r="A504" s="3">
        <v>503</v>
      </c>
      <c r="B504" s="5" t="s">
        <v>1445</v>
      </c>
      <c r="C504" s="5" t="s">
        <v>1172</v>
      </c>
      <c r="U504" s="5" t="s">
        <v>1713</v>
      </c>
    </row>
    <row r="505" spans="1:21" x14ac:dyDescent="0.2">
      <c r="A505" s="3">
        <v>504</v>
      </c>
      <c r="B505" s="5" t="s">
        <v>26</v>
      </c>
      <c r="C505" s="5" t="s">
        <v>1174</v>
      </c>
      <c r="J505" s="19" t="s">
        <v>556</v>
      </c>
      <c r="O505" s="13" t="s">
        <v>1701</v>
      </c>
      <c r="T505" s="12" t="s">
        <v>1713</v>
      </c>
      <c r="U505" s="5" t="s">
        <v>1713</v>
      </c>
    </row>
    <row r="506" spans="1:21" x14ac:dyDescent="0.2">
      <c r="A506" s="3">
        <v>505</v>
      </c>
      <c r="B506" s="5" t="s">
        <v>27</v>
      </c>
      <c r="C506" s="5" t="s">
        <v>1174</v>
      </c>
      <c r="J506" s="19" t="s">
        <v>557</v>
      </c>
      <c r="O506" s="13" t="s">
        <v>1689</v>
      </c>
      <c r="T506" s="12" t="s">
        <v>1730</v>
      </c>
      <c r="U506" s="5" t="s">
        <v>1730</v>
      </c>
    </row>
    <row r="507" spans="1:21" x14ac:dyDescent="0.2">
      <c r="A507" s="3">
        <v>506</v>
      </c>
      <c r="B507" s="5" t="s">
        <v>1446</v>
      </c>
      <c r="C507" s="5" t="s">
        <v>1174</v>
      </c>
      <c r="U507" s="5" t="s">
        <v>1713</v>
      </c>
    </row>
    <row r="508" spans="1:21" x14ac:dyDescent="0.2">
      <c r="A508" s="3">
        <v>507</v>
      </c>
      <c r="B508" s="5" t="s">
        <v>1447</v>
      </c>
      <c r="C508" s="5" t="s">
        <v>1174</v>
      </c>
      <c r="U508" s="5" t="s">
        <v>1713</v>
      </c>
    </row>
    <row r="509" spans="1:21" x14ac:dyDescent="0.2">
      <c r="A509" s="3">
        <v>508</v>
      </c>
      <c r="B509" s="5" t="s">
        <v>1448</v>
      </c>
      <c r="C509" s="5" t="s">
        <v>1174</v>
      </c>
      <c r="U509" s="5" t="s">
        <v>1713</v>
      </c>
    </row>
    <row r="510" spans="1:21" x14ac:dyDescent="0.2">
      <c r="A510" s="3">
        <v>509</v>
      </c>
      <c r="B510" s="5" t="s">
        <v>275</v>
      </c>
      <c r="C510" s="5" t="s">
        <v>1270</v>
      </c>
      <c r="F510" s="4" t="s">
        <v>573</v>
      </c>
      <c r="L510" s="21" t="s">
        <v>2536</v>
      </c>
      <c r="U510" s="5" t="s">
        <v>1713</v>
      </c>
    </row>
    <row r="511" spans="1:21" x14ac:dyDescent="0.2">
      <c r="A511" s="3">
        <v>510</v>
      </c>
      <c r="B511" s="5" t="s">
        <v>276</v>
      </c>
      <c r="C511" s="5" t="s">
        <v>1270</v>
      </c>
      <c r="F511" s="4" t="s">
        <v>574</v>
      </c>
      <c r="L511" s="21" t="s">
        <v>2537</v>
      </c>
      <c r="Q511" s="21" t="s">
        <v>973</v>
      </c>
      <c r="U511" s="5" t="s">
        <v>973</v>
      </c>
    </row>
    <row r="512" spans="1:21" x14ac:dyDescent="0.2">
      <c r="A512" s="3">
        <v>511</v>
      </c>
      <c r="B512" s="5" t="s">
        <v>76</v>
      </c>
      <c r="C512" s="5" t="s">
        <v>1168</v>
      </c>
      <c r="J512" s="19" t="s">
        <v>606</v>
      </c>
      <c r="O512" s="13" t="s">
        <v>1711</v>
      </c>
      <c r="T512" s="12" t="s">
        <v>1713</v>
      </c>
      <c r="U512" s="5" t="s">
        <v>1713</v>
      </c>
    </row>
    <row r="513" spans="1:21" x14ac:dyDescent="0.2">
      <c r="A513" s="3">
        <v>512</v>
      </c>
      <c r="B513" s="5" t="s">
        <v>77</v>
      </c>
      <c r="C513" s="5" t="s">
        <v>1168</v>
      </c>
      <c r="J513" s="19" t="s">
        <v>607</v>
      </c>
      <c r="O513" s="13" t="s">
        <v>1804</v>
      </c>
      <c r="T513" s="12" t="s">
        <v>1736</v>
      </c>
      <c r="U513" s="5" t="s">
        <v>1736</v>
      </c>
    </row>
    <row r="514" spans="1:21" x14ac:dyDescent="0.2">
      <c r="A514" s="3">
        <v>513</v>
      </c>
      <c r="B514" s="5" t="s">
        <v>78</v>
      </c>
      <c r="C514" s="5" t="s">
        <v>1170</v>
      </c>
      <c r="J514" s="19" t="s">
        <v>608</v>
      </c>
      <c r="O514" s="13" t="s">
        <v>1711</v>
      </c>
      <c r="T514" s="12" t="s">
        <v>1713</v>
      </c>
      <c r="U514" s="5" t="s">
        <v>1713</v>
      </c>
    </row>
    <row r="515" spans="1:21" x14ac:dyDescent="0.2">
      <c r="A515" s="3">
        <v>514</v>
      </c>
      <c r="B515" s="5" t="s">
        <v>79</v>
      </c>
      <c r="C515" s="5" t="s">
        <v>1170</v>
      </c>
      <c r="J515" s="19" t="s">
        <v>609</v>
      </c>
      <c r="O515" s="13" t="s">
        <v>1804</v>
      </c>
      <c r="T515" s="12" t="s">
        <v>1737</v>
      </c>
      <c r="U515" s="5" t="s">
        <v>1737</v>
      </c>
    </row>
    <row r="516" spans="1:21" x14ac:dyDescent="0.2">
      <c r="A516" s="3">
        <v>515</v>
      </c>
      <c r="B516" s="5" t="s">
        <v>80</v>
      </c>
      <c r="C516" s="5" t="s">
        <v>1172</v>
      </c>
      <c r="J516" s="19" t="s">
        <v>610</v>
      </c>
      <c r="O516" s="13" t="s">
        <v>1711</v>
      </c>
      <c r="T516" s="12" t="s">
        <v>1713</v>
      </c>
      <c r="U516" s="5" t="s">
        <v>1713</v>
      </c>
    </row>
    <row r="517" spans="1:21" x14ac:dyDescent="0.2">
      <c r="A517" s="3">
        <v>516</v>
      </c>
      <c r="B517" s="5" t="s">
        <v>81</v>
      </c>
      <c r="C517" s="5" t="s">
        <v>1172</v>
      </c>
      <c r="J517" s="19" t="s">
        <v>611</v>
      </c>
      <c r="O517" s="13" t="s">
        <v>1804</v>
      </c>
      <c r="T517" s="12" t="s">
        <v>1738</v>
      </c>
      <c r="U517" s="5" t="s">
        <v>1738</v>
      </c>
    </row>
    <row r="518" spans="1:21" x14ac:dyDescent="0.2">
      <c r="A518" s="3">
        <v>517</v>
      </c>
      <c r="B518" s="5" t="s">
        <v>307</v>
      </c>
      <c r="C518" s="5" t="s">
        <v>1206</v>
      </c>
      <c r="F518" s="4" t="s">
        <v>619</v>
      </c>
      <c r="L518" s="21" t="s">
        <v>2574</v>
      </c>
      <c r="U518" s="5" t="s">
        <v>1713</v>
      </c>
    </row>
    <row r="519" spans="1:21" x14ac:dyDescent="0.2">
      <c r="A519" s="3">
        <v>518</v>
      </c>
      <c r="B519" s="5" t="s">
        <v>308</v>
      </c>
      <c r="C519" s="5" t="s">
        <v>1206</v>
      </c>
      <c r="F519" s="4" t="s">
        <v>620</v>
      </c>
      <c r="L519" s="21" t="s">
        <v>2574</v>
      </c>
      <c r="Q519" s="21" t="s">
        <v>994</v>
      </c>
      <c r="U519" s="5" t="s">
        <v>994</v>
      </c>
    </row>
    <row r="520" spans="1:21" x14ac:dyDescent="0.2">
      <c r="A520" s="3">
        <v>519</v>
      </c>
      <c r="B520" s="5" t="s">
        <v>257</v>
      </c>
      <c r="C520" s="5" t="s">
        <v>1174</v>
      </c>
      <c r="D520" s="5" t="s">
        <v>1171</v>
      </c>
      <c r="F520" s="4" t="s">
        <v>555</v>
      </c>
      <c r="L520" s="21" t="s">
        <v>2513</v>
      </c>
      <c r="U520" s="5" t="s">
        <v>1713</v>
      </c>
    </row>
    <row r="521" spans="1:21" x14ac:dyDescent="0.2">
      <c r="A521" s="3">
        <v>520</v>
      </c>
      <c r="B521" s="5" t="s">
        <v>258</v>
      </c>
      <c r="C521" s="5" t="s">
        <v>1174</v>
      </c>
      <c r="D521" s="5" t="s">
        <v>1171</v>
      </c>
      <c r="F521" s="4" t="s">
        <v>556</v>
      </c>
      <c r="L521" s="21" t="s">
        <v>2522</v>
      </c>
      <c r="Q521" s="21" t="s">
        <v>962</v>
      </c>
      <c r="U521" s="5" t="s">
        <v>962</v>
      </c>
    </row>
    <row r="522" spans="1:21" x14ac:dyDescent="0.2">
      <c r="A522" s="3">
        <v>521</v>
      </c>
      <c r="B522" s="5" t="s">
        <v>259</v>
      </c>
      <c r="C522" s="5" t="s">
        <v>1174</v>
      </c>
      <c r="D522" s="5" t="s">
        <v>1171</v>
      </c>
      <c r="F522" s="4" t="s">
        <v>557</v>
      </c>
      <c r="L522" s="21" t="s">
        <v>2523</v>
      </c>
      <c r="Q522" s="21" t="s">
        <v>963</v>
      </c>
      <c r="U522" s="5" t="s">
        <v>963</v>
      </c>
    </row>
    <row r="523" spans="1:21" x14ac:dyDescent="0.2">
      <c r="A523" s="3">
        <v>522</v>
      </c>
      <c r="B523" s="5" t="s">
        <v>1449</v>
      </c>
      <c r="C523" s="5" t="s">
        <v>1179</v>
      </c>
      <c r="U523" s="5" t="s">
        <v>1713</v>
      </c>
    </row>
    <row r="524" spans="1:21" x14ac:dyDescent="0.2">
      <c r="A524" s="3">
        <v>523</v>
      </c>
      <c r="B524" s="5" t="s">
        <v>1450</v>
      </c>
      <c r="C524" s="5" t="s">
        <v>1179</v>
      </c>
      <c r="U524" s="5" t="s">
        <v>1713</v>
      </c>
    </row>
    <row r="525" spans="1:21" x14ac:dyDescent="0.2">
      <c r="A525" s="3">
        <v>524</v>
      </c>
      <c r="B525" s="5" t="s">
        <v>367</v>
      </c>
      <c r="C525" s="5" t="s">
        <v>1210</v>
      </c>
      <c r="F525" s="4" t="s">
        <v>697</v>
      </c>
      <c r="L525" s="21" t="s">
        <v>2722</v>
      </c>
      <c r="U525" s="5" t="s">
        <v>1713</v>
      </c>
    </row>
    <row r="526" spans="1:21" x14ac:dyDescent="0.2">
      <c r="A526" s="3">
        <v>525</v>
      </c>
      <c r="B526" s="5" t="s">
        <v>368</v>
      </c>
      <c r="C526" s="5" t="s">
        <v>1210</v>
      </c>
      <c r="F526" s="4" t="s">
        <v>698</v>
      </c>
      <c r="L526" s="21" t="s">
        <v>2622</v>
      </c>
      <c r="Q526" s="21" t="s">
        <v>1030</v>
      </c>
      <c r="U526" s="5" t="s">
        <v>1030</v>
      </c>
    </row>
    <row r="527" spans="1:21" x14ac:dyDescent="0.2">
      <c r="A527" s="3">
        <v>526</v>
      </c>
      <c r="B527" s="5" t="s">
        <v>369</v>
      </c>
      <c r="C527" s="5" t="s">
        <v>1210</v>
      </c>
      <c r="F527" s="4" t="s">
        <v>699</v>
      </c>
      <c r="L527" s="21" t="s">
        <v>2723</v>
      </c>
      <c r="Q527" s="21" t="s">
        <v>1031</v>
      </c>
      <c r="U527" s="5" t="s">
        <v>1031</v>
      </c>
    </row>
    <row r="528" spans="1:21" x14ac:dyDescent="0.2">
      <c r="A528" s="3">
        <v>527</v>
      </c>
      <c r="B528" s="5" t="s">
        <v>373</v>
      </c>
      <c r="C528" s="5" t="s">
        <v>1206</v>
      </c>
      <c r="D528" s="5" t="s">
        <v>1171</v>
      </c>
      <c r="F528" s="4" t="s">
        <v>703</v>
      </c>
      <c r="L528" s="21" t="s">
        <v>3550</v>
      </c>
      <c r="U528" s="5" t="s">
        <v>1713</v>
      </c>
    </row>
    <row r="529" spans="1:21" x14ac:dyDescent="0.2">
      <c r="A529" s="3">
        <v>528</v>
      </c>
      <c r="B529" s="5" t="s">
        <v>374</v>
      </c>
      <c r="C529" s="5" t="s">
        <v>1206</v>
      </c>
      <c r="D529" s="5" t="s">
        <v>1171</v>
      </c>
      <c r="F529" s="4" t="s">
        <v>704</v>
      </c>
      <c r="L529" s="21" t="s">
        <v>2624</v>
      </c>
      <c r="Q529" s="21" t="s">
        <v>1123</v>
      </c>
      <c r="U529" s="5" t="s">
        <v>1123</v>
      </c>
    </row>
    <row r="530" spans="1:21" x14ac:dyDescent="0.2">
      <c r="A530" s="3">
        <v>529</v>
      </c>
      <c r="B530" s="5" t="s">
        <v>119</v>
      </c>
      <c r="C530" s="5" t="s">
        <v>1181</v>
      </c>
      <c r="F530" s="4" t="s">
        <v>695</v>
      </c>
      <c r="J530" s="19" t="s">
        <v>649</v>
      </c>
      <c r="L530" s="21" t="s">
        <v>2520</v>
      </c>
      <c r="O530" s="12" t="s">
        <v>1709</v>
      </c>
      <c r="Q530" s="21" t="s">
        <v>1028</v>
      </c>
      <c r="T530" s="12" t="s">
        <v>1713</v>
      </c>
      <c r="U530" s="5" t="s">
        <v>1028</v>
      </c>
    </row>
    <row r="531" spans="1:21" x14ac:dyDescent="0.2">
      <c r="A531" s="3">
        <v>530</v>
      </c>
      <c r="B531" s="5" t="s">
        <v>120</v>
      </c>
      <c r="C531" s="5" t="s">
        <v>1181</v>
      </c>
      <c r="D531" s="5" t="s">
        <v>1214</v>
      </c>
      <c r="F531" s="4" t="s">
        <v>696</v>
      </c>
      <c r="J531" s="19" t="s">
        <v>650</v>
      </c>
      <c r="L531" s="21" t="s">
        <v>2513</v>
      </c>
      <c r="O531" s="12" t="s">
        <v>1694</v>
      </c>
      <c r="Q531" s="21" t="s">
        <v>1029</v>
      </c>
      <c r="T531" s="12" t="s">
        <v>1029</v>
      </c>
      <c r="U531" s="5" t="s">
        <v>1029</v>
      </c>
    </row>
    <row r="532" spans="1:21" x14ac:dyDescent="0.2">
      <c r="A532" s="3">
        <v>531</v>
      </c>
      <c r="B532" s="5" t="s">
        <v>94</v>
      </c>
      <c r="C532" s="5" t="s">
        <v>1174</v>
      </c>
      <c r="J532" s="19" t="s">
        <v>624</v>
      </c>
      <c r="O532" s="12" t="s">
        <v>1705</v>
      </c>
      <c r="T532" s="12" t="s">
        <v>1713</v>
      </c>
      <c r="U532" s="5" t="s">
        <v>1713</v>
      </c>
    </row>
    <row r="533" spans="1:21" x14ac:dyDescent="0.2">
      <c r="A533" s="3">
        <v>532</v>
      </c>
      <c r="B533" s="5" t="s">
        <v>370</v>
      </c>
      <c r="C533" s="5" t="s">
        <v>1201</v>
      </c>
      <c r="F533" s="4" t="s">
        <v>700</v>
      </c>
      <c r="L533" s="21" t="s">
        <v>2623</v>
      </c>
      <c r="U533" s="5" t="s">
        <v>1713</v>
      </c>
    </row>
    <row r="534" spans="1:21" x14ac:dyDescent="0.2">
      <c r="A534" s="3">
        <v>533</v>
      </c>
      <c r="B534" s="5" t="s">
        <v>371</v>
      </c>
      <c r="C534" s="5" t="s">
        <v>1201</v>
      </c>
      <c r="F534" s="4" t="s">
        <v>701</v>
      </c>
      <c r="L534" s="21" t="s">
        <v>2600</v>
      </c>
      <c r="Q534" s="21" t="s">
        <v>1032</v>
      </c>
      <c r="U534" s="5" t="s">
        <v>1032</v>
      </c>
    </row>
    <row r="535" spans="1:21" x14ac:dyDescent="0.2">
      <c r="A535" s="3">
        <v>534</v>
      </c>
      <c r="B535" s="5" t="s">
        <v>372</v>
      </c>
      <c r="C535" s="5" t="s">
        <v>1201</v>
      </c>
      <c r="F535" s="4" t="s">
        <v>702</v>
      </c>
      <c r="L535" s="21" t="s">
        <v>2624</v>
      </c>
      <c r="Q535" s="21" t="s">
        <v>1033</v>
      </c>
      <c r="U535" s="5" t="s">
        <v>1033</v>
      </c>
    </row>
    <row r="536" spans="1:21" x14ac:dyDescent="0.2">
      <c r="A536" s="3">
        <v>535</v>
      </c>
      <c r="B536" s="5" t="s">
        <v>343</v>
      </c>
      <c r="C536" s="5" t="s">
        <v>1172</v>
      </c>
      <c r="F536" s="4" t="s">
        <v>661</v>
      </c>
      <c r="L536" s="21" t="s">
        <v>2604</v>
      </c>
      <c r="U536" s="5" t="s">
        <v>1713</v>
      </c>
    </row>
    <row r="537" spans="1:21" x14ac:dyDescent="0.2">
      <c r="A537" s="3">
        <v>536</v>
      </c>
      <c r="B537" s="5" t="s">
        <v>344</v>
      </c>
      <c r="C537" s="5" t="s">
        <v>1172</v>
      </c>
      <c r="D537" s="5" t="s">
        <v>1181</v>
      </c>
      <c r="F537" s="4" t="s">
        <v>662</v>
      </c>
      <c r="L537" s="21" t="s">
        <v>2605</v>
      </c>
      <c r="Q537" s="21" t="s">
        <v>1011</v>
      </c>
      <c r="U537" s="5" t="s">
        <v>1011</v>
      </c>
    </row>
    <row r="538" spans="1:21" x14ac:dyDescent="0.2">
      <c r="A538" s="3">
        <v>537</v>
      </c>
      <c r="B538" s="5" t="s">
        <v>345</v>
      </c>
      <c r="C538" s="5" t="s">
        <v>1172</v>
      </c>
      <c r="D538" s="5" t="s">
        <v>1181</v>
      </c>
      <c r="F538" s="4" t="s">
        <v>663</v>
      </c>
      <c r="L538" s="21" t="s">
        <v>2606</v>
      </c>
      <c r="Q538" s="21" t="s">
        <v>1012</v>
      </c>
      <c r="U538" s="5" t="s">
        <v>1012</v>
      </c>
    </row>
    <row r="539" spans="1:21" x14ac:dyDescent="0.2">
      <c r="A539" s="3">
        <v>538</v>
      </c>
      <c r="B539" s="5" t="s">
        <v>418</v>
      </c>
      <c r="C539" s="5" t="s">
        <v>1201</v>
      </c>
      <c r="F539" s="4" t="s">
        <v>777</v>
      </c>
      <c r="L539" s="21" t="s">
        <v>2730</v>
      </c>
      <c r="U539" s="5" t="s">
        <v>1713</v>
      </c>
    </row>
    <row r="540" spans="1:21" x14ac:dyDescent="0.2">
      <c r="A540" s="3">
        <v>539</v>
      </c>
      <c r="B540" s="5" t="s">
        <v>419</v>
      </c>
      <c r="C540" s="5" t="s">
        <v>1201</v>
      </c>
      <c r="F540" s="4" t="s">
        <v>778</v>
      </c>
      <c r="L540" s="21" t="s">
        <v>2731</v>
      </c>
      <c r="U540" s="5" t="s">
        <v>1713</v>
      </c>
    </row>
    <row r="541" spans="1:21" x14ac:dyDescent="0.2">
      <c r="A541" s="3">
        <v>540</v>
      </c>
      <c r="B541" s="5" t="s">
        <v>1451</v>
      </c>
      <c r="C541" s="5" t="s">
        <v>1173</v>
      </c>
      <c r="D541" s="5" t="s">
        <v>1168</v>
      </c>
      <c r="U541" s="5" t="s">
        <v>1713</v>
      </c>
    </row>
    <row r="542" spans="1:21" x14ac:dyDescent="0.2">
      <c r="A542" s="3">
        <v>541</v>
      </c>
      <c r="B542" s="5" t="s">
        <v>1452</v>
      </c>
      <c r="C542" s="5" t="s">
        <v>1173</v>
      </c>
      <c r="D542" s="5" t="s">
        <v>1168</v>
      </c>
      <c r="U542" s="5" t="s">
        <v>1713</v>
      </c>
    </row>
    <row r="543" spans="1:21" x14ac:dyDescent="0.2">
      <c r="A543" s="3">
        <v>542</v>
      </c>
      <c r="B543" s="5" t="s">
        <v>1453</v>
      </c>
      <c r="C543" s="5" t="s">
        <v>1173</v>
      </c>
      <c r="D543" s="5" t="s">
        <v>1168</v>
      </c>
      <c r="U543" s="5" t="s">
        <v>1713</v>
      </c>
    </row>
    <row r="544" spans="1:21" x14ac:dyDescent="0.2">
      <c r="A544" s="3">
        <v>543</v>
      </c>
      <c r="B544" s="5" t="s">
        <v>67</v>
      </c>
      <c r="C544" s="5" t="s">
        <v>1173</v>
      </c>
      <c r="D544" s="5" t="s">
        <v>1169</v>
      </c>
      <c r="J544" s="19" t="s">
        <v>597</v>
      </c>
      <c r="O544" s="13" t="s">
        <v>1684</v>
      </c>
      <c r="T544" s="12" t="s">
        <v>1713</v>
      </c>
      <c r="U544" s="5" t="s">
        <v>1713</v>
      </c>
    </row>
    <row r="545" spans="1:21" x14ac:dyDescent="0.2">
      <c r="A545" s="3">
        <v>544</v>
      </c>
      <c r="B545" s="5" t="s">
        <v>68</v>
      </c>
      <c r="C545" s="5" t="s">
        <v>1173</v>
      </c>
      <c r="D545" s="5" t="s">
        <v>1169</v>
      </c>
      <c r="J545" s="19" t="s">
        <v>598</v>
      </c>
      <c r="O545" s="13" t="s">
        <v>2394</v>
      </c>
      <c r="T545" s="12" t="s">
        <v>1751</v>
      </c>
      <c r="U545" s="5" t="s">
        <v>1751</v>
      </c>
    </row>
    <row r="546" spans="1:21" x14ac:dyDescent="0.2">
      <c r="A546" s="3">
        <v>545</v>
      </c>
      <c r="B546" s="5" t="s">
        <v>69</v>
      </c>
      <c r="C546" s="5" t="s">
        <v>1173</v>
      </c>
      <c r="D546" s="5" t="s">
        <v>1169</v>
      </c>
      <c r="J546" s="19" t="s">
        <v>599</v>
      </c>
      <c r="O546" s="13" t="s">
        <v>2394</v>
      </c>
      <c r="T546" s="12" t="s">
        <v>1752</v>
      </c>
      <c r="U546" s="5" t="s">
        <v>1752</v>
      </c>
    </row>
    <row r="547" spans="1:21" x14ac:dyDescent="0.2">
      <c r="A547" s="3">
        <v>546</v>
      </c>
      <c r="B547" s="5" t="s">
        <v>429</v>
      </c>
      <c r="C547" s="5" t="s">
        <v>1168</v>
      </c>
      <c r="D547" s="5" t="s">
        <v>1189</v>
      </c>
      <c r="F547" s="4" t="s">
        <v>791</v>
      </c>
      <c r="L547" s="21" t="s">
        <v>2668</v>
      </c>
      <c r="U547" s="5" t="s">
        <v>1713</v>
      </c>
    </row>
    <row r="548" spans="1:21" x14ac:dyDescent="0.2">
      <c r="A548" s="3">
        <v>547</v>
      </c>
      <c r="B548" s="5" t="s">
        <v>430</v>
      </c>
      <c r="C548" s="5" t="s">
        <v>1168</v>
      </c>
      <c r="D548" s="5" t="s">
        <v>1189</v>
      </c>
      <c r="F548" s="4" t="s">
        <v>792</v>
      </c>
      <c r="L548" s="21" t="s">
        <v>3550</v>
      </c>
      <c r="Q548" s="21" t="s">
        <v>1066</v>
      </c>
      <c r="U548" s="5" t="s">
        <v>1066</v>
      </c>
    </row>
    <row r="549" spans="1:21" x14ac:dyDescent="0.2">
      <c r="A549" s="3">
        <v>548</v>
      </c>
      <c r="B549" s="5" t="s">
        <v>1454</v>
      </c>
      <c r="C549" s="5" t="s">
        <v>1168</v>
      </c>
      <c r="I549" s="11" t="s">
        <v>633</v>
      </c>
      <c r="N549" s="9" t="s">
        <v>3183</v>
      </c>
      <c r="U549" s="5" t="s">
        <v>1713</v>
      </c>
    </row>
    <row r="550" spans="1:21" x14ac:dyDescent="0.2">
      <c r="A550" s="3">
        <v>549</v>
      </c>
      <c r="B550" s="5" t="s">
        <v>1455</v>
      </c>
      <c r="C550" s="5" t="s">
        <v>1168</v>
      </c>
      <c r="I550" s="11" t="s">
        <v>634</v>
      </c>
      <c r="N550" s="9" t="s">
        <v>3184</v>
      </c>
      <c r="S550" s="9" t="s">
        <v>3061</v>
      </c>
      <c r="U550" s="5" t="s">
        <v>3061</v>
      </c>
    </row>
    <row r="551" spans="1:21" x14ac:dyDescent="0.2">
      <c r="A551" s="3">
        <v>550</v>
      </c>
      <c r="B551" s="5" t="s">
        <v>357</v>
      </c>
      <c r="C551" s="5" t="s">
        <v>1172</v>
      </c>
      <c r="F551" s="4" t="s">
        <v>683</v>
      </c>
      <c r="I551" s="24" t="s">
        <v>667</v>
      </c>
      <c r="L551" s="21" t="s">
        <v>1122</v>
      </c>
      <c r="N551" s="9" t="s">
        <v>3211</v>
      </c>
      <c r="U551" s="5" t="s">
        <v>1713</v>
      </c>
    </row>
    <row r="552" spans="1:21" x14ac:dyDescent="0.2">
      <c r="A552" s="3">
        <v>551</v>
      </c>
      <c r="B552" s="5" t="s">
        <v>121</v>
      </c>
      <c r="C552" s="5" t="s">
        <v>1181</v>
      </c>
      <c r="D552" s="5" t="s">
        <v>1270</v>
      </c>
      <c r="I552" s="11" t="s">
        <v>796</v>
      </c>
      <c r="J552" s="19" t="s">
        <v>651</v>
      </c>
      <c r="N552" s="9" t="s">
        <v>3289</v>
      </c>
      <c r="O552" s="12" t="s">
        <v>1686</v>
      </c>
      <c r="T552" s="12" t="s">
        <v>1713</v>
      </c>
      <c r="U552" s="5" t="s">
        <v>1713</v>
      </c>
    </row>
    <row r="553" spans="1:21" x14ac:dyDescent="0.2">
      <c r="A553" s="3">
        <v>552</v>
      </c>
      <c r="B553" s="5" t="s">
        <v>122</v>
      </c>
      <c r="C553" s="5" t="s">
        <v>1181</v>
      </c>
      <c r="D553" s="5" t="s">
        <v>1270</v>
      </c>
      <c r="I553" s="11" t="s">
        <v>797</v>
      </c>
      <c r="J553" s="19" t="s">
        <v>652</v>
      </c>
      <c r="N553" s="9" t="s">
        <v>3289</v>
      </c>
      <c r="O553" s="12" t="s">
        <v>1686</v>
      </c>
      <c r="S553" s="9" t="s">
        <v>1759</v>
      </c>
      <c r="T553" s="12" t="s">
        <v>1759</v>
      </c>
      <c r="U553" s="5" t="s">
        <v>1759</v>
      </c>
    </row>
    <row r="554" spans="1:21" x14ac:dyDescent="0.2">
      <c r="A554" s="3">
        <v>553</v>
      </c>
      <c r="B554" s="5" t="s">
        <v>123</v>
      </c>
      <c r="C554" s="5" t="s">
        <v>1181</v>
      </c>
      <c r="D554" s="5" t="s">
        <v>1270</v>
      </c>
      <c r="I554" s="11" t="s">
        <v>798</v>
      </c>
      <c r="J554" s="19" t="s">
        <v>653</v>
      </c>
      <c r="N554" s="9" t="s">
        <v>3550</v>
      </c>
      <c r="O554" s="12" t="s">
        <v>1804</v>
      </c>
      <c r="S554" s="9" t="s">
        <v>1760</v>
      </c>
      <c r="T554" s="12" t="s">
        <v>1760</v>
      </c>
      <c r="U554" s="5" t="s">
        <v>1760</v>
      </c>
    </row>
    <row r="555" spans="1:21" x14ac:dyDescent="0.2">
      <c r="A555" s="3">
        <v>554</v>
      </c>
      <c r="B555" s="5" t="s">
        <v>536</v>
      </c>
      <c r="C555" s="5" t="s">
        <v>1170</v>
      </c>
      <c r="U555" s="5" t="s">
        <v>1713</v>
      </c>
    </row>
    <row r="556" spans="1:21" x14ac:dyDescent="0.2">
      <c r="A556" s="3">
        <v>555</v>
      </c>
      <c r="B556" s="5" t="s">
        <v>537</v>
      </c>
      <c r="C556" s="5" t="s">
        <v>1170</v>
      </c>
      <c r="U556" s="5" t="s">
        <v>1713</v>
      </c>
    </row>
    <row r="557" spans="1:21" x14ac:dyDescent="0.2">
      <c r="A557" s="3">
        <v>556</v>
      </c>
      <c r="B557" s="5" t="s">
        <v>456</v>
      </c>
      <c r="C557" s="5" t="s">
        <v>1168</v>
      </c>
      <c r="F557" s="4" t="s">
        <v>825</v>
      </c>
      <c r="L557" s="21" t="s">
        <v>2686</v>
      </c>
      <c r="U557" s="5" t="s">
        <v>1713</v>
      </c>
    </row>
    <row r="558" spans="1:21" x14ac:dyDescent="0.2">
      <c r="A558" s="3">
        <v>557</v>
      </c>
      <c r="B558" s="5" t="s">
        <v>303</v>
      </c>
      <c r="C558" s="5" t="s">
        <v>1173</v>
      </c>
      <c r="D558" s="5" t="s">
        <v>1210</v>
      </c>
      <c r="F558" s="4" t="s">
        <v>615</v>
      </c>
      <c r="L558" s="21" t="s">
        <v>2543</v>
      </c>
      <c r="U558" s="5" t="s">
        <v>1713</v>
      </c>
    </row>
    <row r="559" spans="1:21" x14ac:dyDescent="0.2">
      <c r="A559" s="3">
        <v>558</v>
      </c>
      <c r="B559" s="5" t="s">
        <v>304</v>
      </c>
      <c r="C559" s="5" t="s">
        <v>1173</v>
      </c>
      <c r="D559" s="5" t="s">
        <v>1210</v>
      </c>
      <c r="F559" s="4" t="s">
        <v>616</v>
      </c>
      <c r="L559" s="21" t="s">
        <v>2571</v>
      </c>
      <c r="Q559" s="21" t="s">
        <v>992</v>
      </c>
      <c r="U559" s="5" t="s">
        <v>992</v>
      </c>
    </row>
    <row r="560" spans="1:21" x14ac:dyDescent="0.2">
      <c r="A560" s="3">
        <v>559</v>
      </c>
      <c r="B560" s="5" t="s">
        <v>183</v>
      </c>
      <c r="C560" s="5" t="s">
        <v>1270</v>
      </c>
      <c r="D560" s="5" t="s">
        <v>1201</v>
      </c>
      <c r="F560" s="4" t="s">
        <v>753</v>
      </c>
      <c r="J560" s="19" t="s">
        <v>713</v>
      </c>
      <c r="L560" s="21" t="s">
        <v>2651</v>
      </c>
      <c r="O560" s="12" t="s">
        <v>1691</v>
      </c>
      <c r="T560" s="12" t="s">
        <v>1713</v>
      </c>
      <c r="U560" s="5" t="s">
        <v>1713</v>
      </c>
    </row>
    <row r="561" spans="1:21" x14ac:dyDescent="0.2">
      <c r="A561" s="3">
        <v>560</v>
      </c>
      <c r="B561" s="5" t="s">
        <v>184</v>
      </c>
      <c r="C561" s="5" t="s">
        <v>1270</v>
      </c>
      <c r="D561" s="5" t="s">
        <v>1201</v>
      </c>
      <c r="F561" s="4" t="s">
        <v>754</v>
      </c>
      <c r="J561" s="19" t="s">
        <v>714</v>
      </c>
      <c r="L561" s="21" t="s">
        <v>3550</v>
      </c>
      <c r="O561" s="12" t="s">
        <v>1677</v>
      </c>
      <c r="Q561" s="21" t="s">
        <v>1052</v>
      </c>
      <c r="T561" s="12" t="s">
        <v>1052</v>
      </c>
      <c r="U561" s="5" t="s">
        <v>1052</v>
      </c>
    </row>
    <row r="562" spans="1:21" x14ac:dyDescent="0.2">
      <c r="A562" s="3">
        <v>561</v>
      </c>
      <c r="B562" s="5" t="s">
        <v>457</v>
      </c>
      <c r="C562" s="5" t="s">
        <v>1206</v>
      </c>
      <c r="D562" s="5" t="s">
        <v>1171</v>
      </c>
      <c r="F562" s="4" t="s">
        <v>826</v>
      </c>
      <c r="L562" s="21" t="s">
        <v>2687</v>
      </c>
      <c r="U562" s="5" t="s">
        <v>1713</v>
      </c>
    </row>
    <row r="563" spans="1:21" x14ac:dyDescent="0.2">
      <c r="A563" s="3">
        <v>562</v>
      </c>
      <c r="B563" s="5" t="s">
        <v>1143</v>
      </c>
      <c r="C563" s="5" t="s">
        <v>1223</v>
      </c>
      <c r="F563" s="4" t="s">
        <v>856</v>
      </c>
      <c r="L563" s="21" t="s">
        <v>1149</v>
      </c>
      <c r="U563" s="5" t="s">
        <v>1713</v>
      </c>
    </row>
    <row r="564" spans="1:21" x14ac:dyDescent="0.2">
      <c r="A564" s="3">
        <v>563</v>
      </c>
      <c r="B564" s="5" t="s">
        <v>482</v>
      </c>
      <c r="C564" s="5" t="s">
        <v>1223</v>
      </c>
      <c r="F564" s="4" t="s">
        <v>858</v>
      </c>
      <c r="L564" s="21" t="s">
        <v>3550</v>
      </c>
      <c r="Q564" s="21" t="s">
        <v>1092</v>
      </c>
      <c r="U564" s="5" t="s">
        <v>1092</v>
      </c>
    </row>
    <row r="565" spans="1:21" x14ac:dyDescent="0.2">
      <c r="A565" s="3">
        <v>564</v>
      </c>
      <c r="B565" s="5" t="s">
        <v>1456</v>
      </c>
      <c r="C565" s="5" t="s">
        <v>1172</v>
      </c>
      <c r="D565" s="5" t="s">
        <v>1210</v>
      </c>
      <c r="U565" s="5" t="s">
        <v>1713</v>
      </c>
    </row>
    <row r="566" spans="1:21" x14ac:dyDescent="0.2">
      <c r="A566" s="3">
        <v>565</v>
      </c>
      <c r="B566" s="5" t="s">
        <v>1457</v>
      </c>
      <c r="C566" s="5" t="s">
        <v>1172</v>
      </c>
      <c r="D566" s="5" t="s">
        <v>1210</v>
      </c>
      <c r="U566" s="5" t="s">
        <v>1713</v>
      </c>
    </row>
    <row r="567" spans="1:21" x14ac:dyDescent="0.2">
      <c r="A567" s="3">
        <v>566</v>
      </c>
      <c r="B567" s="5" t="s">
        <v>1458</v>
      </c>
      <c r="C567" s="5" t="s">
        <v>1210</v>
      </c>
      <c r="D567" s="5" t="s">
        <v>1171</v>
      </c>
      <c r="U567" s="5" t="s">
        <v>1713</v>
      </c>
    </row>
    <row r="568" spans="1:21" x14ac:dyDescent="0.2">
      <c r="A568" s="3">
        <v>567</v>
      </c>
      <c r="B568" s="5" t="s">
        <v>1459</v>
      </c>
      <c r="C568" s="5" t="s">
        <v>1210</v>
      </c>
      <c r="D568" s="5" t="s">
        <v>1171</v>
      </c>
      <c r="U568" s="5" t="s">
        <v>1713</v>
      </c>
    </row>
    <row r="569" spans="1:21" x14ac:dyDescent="0.2">
      <c r="A569" s="3">
        <v>568</v>
      </c>
      <c r="B569" s="5" t="s">
        <v>48</v>
      </c>
      <c r="C569" s="5" t="s">
        <v>1169</v>
      </c>
      <c r="F569" s="4" t="s">
        <v>686</v>
      </c>
      <c r="J569" s="19" t="s">
        <v>578</v>
      </c>
      <c r="L569" s="21" t="s">
        <v>2600</v>
      </c>
      <c r="O569" s="13" t="s">
        <v>1790</v>
      </c>
      <c r="T569" s="12" t="s">
        <v>1713</v>
      </c>
      <c r="U569" s="5" t="s">
        <v>1713</v>
      </c>
    </row>
    <row r="570" spans="1:21" x14ac:dyDescent="0.2">
      <c r="A570" s="3">
        <v>569</v>
      </c>
      <c r="B570" s="5" t="s">
        <v>49</v>
      </c>
      <c r="C570" s="5" t="s">
        <v>1169</v>
      </c>
      <c r="F570" s="4" t="s">
        <v>687</v>
      </c>
      <c r="J570" s="19" t="s">
        <v>579</v>
      </c>
      <c r="L570" s="21" t="s">
        <v>2721</v>
      </c>
      <c r="O570" s="13" t="s">
        <v>1791</v>
      </c>
      <c r="Q570" s="21" t="s">
        <v>1024</v>
      </c>
      <c r="T570" s="12" t="s">
        <v>1024</v>
      </c>
      <c r="U570" s="5" t="s">
        <v>1024</v>
      </c>
    </row>
    <row r="571" spans="1:21" x14ac:dyDescent="0.2">
      <c r="A571" s="3">
        <v>570</v>
      </c>
      <c r="B571" s="5" t="s">
        <v>1460</v>
      </c>
      <c r="C571" s="5" t="s">
        <v>1270</v>
      </c>
      <c r="I571" s="11" t="s">
        <v>757</v>
      </c>
      <c r="N571" s="9" t="s">
        <v>3260</v>
      </c>
      <c r="U571" s="5" t="s">
        <v>1713</v>
      </c>
    </row>
    <row r="572" spans="1:21" x14ac:dyDescent="0.2">
      <c r="A572" s="3">
        <v>571</v>
      </c>
      <c r="B572" s="5" t="s">
        <v>1461</v>
      </c>
      <c r="C572" s="5" t="s">
        <v>1270</v>
      </c>
      <c r="I572" s="11" t="s">
        <v>758</v>
      </c>
      <c r="N572" s="9" t="s">
        <v>3279</v>
      </c>
      <c r="S572" s="9" t="s">
        <v>3008</v>
      </c>
      <c r="U572" s="5" t="s">
        <v>3008</v>
      </c>
    </row>
    <row r="573" spans="1:21" x14ac:dyDescent="0.2">
      <c r="A573" s="3">
        <v>572</v>
      </c>
      <c r="B573" s="5" t="s">
        <v>279</v>
      </c>
      <c r="C573" s="5" t="s">
        <v>1174</v>
      </c>
      <c r="F573" s="4" t="s">
        <v>579</v>
      </c>
      <c r="L573" s="21" t="s">
        <v>2713</v>
      </c>
      <c r="U573" s="5" t="s">
        <v>1713</v>
      </c>
    </row>
    <row r="574" spans="1:21" x14ac:dyDescent="0.2">
      <c r="A574" s="3">
        <v>573</v>
      </c>
      <c r="B574" s="5" t="s">
        <v>280</v>
      </c>
      <c r="C574" s="5" t="s">
        <v>1174</v>
      </c>
      <c r="F574" s="4" t="s">
        <v>580</v>
      </c>
      <c r="L574" s="21" t="s">
        <v>2542</v>
      </c>
      <c r="Q574" s="21" t="s">
        <v>976</v>
      </c>
      <c r="U574" s="5" t="s">
        <v>976</v>
      </c>
    </row>
    <row r="575" spans="1:21" x14ac:dyDescent="0.2">
      <c r="A575" s="3">
        <v>574</v>
      </c>
      <c r="B575" s="5" t="s">
        <v>434</v>
      </c>
      <c r="C575" s="5" t="s">
        <v>1206</v>
      </c>
      <c r="F575" s="4" t="s">
        <v>796</v>
      </c>
      <c r="I575" s="11" t="s">
        <v>763</v>
      </c>
      <c r="L575" s="21" t="s">
        <v>2669</v>
      </c>
      <c r="N575" s="9" t="s">
        <v>3284</v>
      </c>
      <c r="U575" s="5" t="s">
        <v>1713</v>
      </c>
    </row>
    <row r="576" spans="1:21" x14ac:dyDescent="0.2">
      <c r="A576" s="3">
        <v>575</v>
      </c>
      <c r="B576" s="5" t="s">
        <v>435</v>
      </c>
      <c r="C576" s="5" t="s">
        <v>1206</v>
      </c>
      <c r="F576" s="4" t="s">
        <v>797</v>
      </c>
      <c r="I576" s="11" t="s">
        <v>764</v>
      </c>
      <c r="L576" s="21" t="s">
        <v>2669</v>
      </c>
      <c r="N576" s="9" t="s">
        <v>3285</v>
      </c>
      <c r="Q576" s="21" t="s">
        <v>1069</v>
      </c>
      <c r="S576" s="9" t="s">
        <v>1069</v>
      </c>
      <c r="U576" s="5" t="s">
        <v>1069</v>
      </c>
    </row>
    <row r="577" spans="1:21" x14ac:dyDescent="0.2">
      <c r="A577" s="3">
        <v>576</v>
      </c>
      <c r="B577" s="5" t="s">
        <v>436</v>
      </c>
      <c r="C577" s="5" t="s">
        <v>1206</v>
      </c>
      <c r="F577" s="4" t="s">
        <v>798</v>
      </c>
      <c r="I577" s="11" t="s">
        <v>765</v>
      </c>
      <c r="L577" s="21" t="s">
        <v>2736</v>
      </c>
      <c r="N577" s="9" t="s">
        <v>3246</v>
      </c>
      <c r="Q577" s="21" t="s">
        <v>1070</v>
      </c>
      <c r="S577" s="9" t="s">
        <v>1070</v>
      </c>
      <c r="U577" s="5" t="s">
        <v>1070</v>
      </c>
    </row>
    <row r="578" spans="1:21" x14ac:dyDescent="0.2">
      <c r="A578" s="3">
        <v>577</v>
      </c>
      <c r="B578" s="5" t="s">
        <v>437</v>
      </c>
      <c r="C578" s="5" t="s">
        <v>1206</v>
      </c>
      <c r="F578" s="4" t="s">
        <v>799</v>
      </c>
      <c r="L578" s="21" t="s">
        <v>2670</v>
      </c>
      <c r="U578" s="5" t="s">
        <v>1713</v>
      </c>
    </row>
    <row r="579" spans="1:21" x14ac:dyDescent="0.2">
      <c r="A579" s="3">
        <v>578</v>
      </c>
      <c r="B579" s="5" t="s">
        <v>438</v>
      </c>
      <c r="C579" s="5" t="s">
        <v>1206</v>
      </c>
      <c r="F579" s="4" t="s">
        <v>800</v>
      </c>
      <c r="L579" s="21" t="s">
        <v>2737</v>
      </c>
      <c r="Q579" s="21" t="s">
        <v>1071</v>
      </c>
      <c r="U579" s="5" t="s">
        <v>1071</v>
      </c>
    </row>
    <row r="580" spans="1:21" x14ac:dyDescent="0.2">
      <c r="A580" s="3">
        <v>579</v>
      </c>
      <c r="B580" s="5" t="s">
        <v>439</v>
      </c>
      <c r="C580" s="5" t="s">
        <v>1206</v>
      </c>
      <c r="F580" s="4" t="s">
        <v>801</v>
      </c>
      <c r="L580" s="21" t="s">
        <v>2738</v>
      </c>
      <c r="Q580" s="21" t="s">
        <v>1072</v>
      </c>
      <c r="U580" s="5" t="s">
        <v>1072</v>
      </c>
    </row>
    <row r="581" spans="1:21" x14ac:dyDescent="0.2">
      <c r="A581" s="3">
        <v>580</v>
      </c>
      <c r="B581" s="5" t="s">
        <v>1462</v>
      </c>
      <c r="C581" s="5" t="s">
        <v>1172</v>
      </c>
      <c r="D581" s="5" t="s">
        <v>1171</v>
      </c>
      <c r="U581" s="5" t="s">
        <v>1713</v>
      </c>
    </row>
    <row r="582" spans="1:21" x14ac:dyDescent="0.2">
      <c r="A582" s="3">
        <v>581</v>
      </c>
      <c r="B582" s="5" t="s">
        <v>1463</v>
      </c>
      <c r="C582" s="5" t="s">
        <v>1172</v>
      </c>
      <c r="D582" s="5" t="s">
        <v>1171</v>
      </c>
      <c r="U582" s="5" t="s">
        <v>1713</v>
      </c>
    </row>
    <row r="583" spans="1:21" x14ac:dyDescent="0.2">
      <c r="A583" s="3">
        <v>582</v>
      </c>
      <c r="B583" s="5" t="s">
        <v>112</v>
      </c>
      <c r="C583" s="5" t="s">
        <v>1220</v>
      </c>
      <c r="F583" s="4" t="s">
        <v>601</v>
      </c>
      <c r="J583" s="19" t="s">
        <v>642</v>
      </c>
      <c r="L583" s="21" t="s">
        <v>2559</v>
      </c>
      <c r="O583" s="12" t="s">
        <v>1708</v>
      </c>
      <c r="T583" s="12" t="s">
        <v>1713</v>
      </c>
      <c r="U583" s="5" t="s">
        <v>1713</v>
      </c>
    </row>
    <row r="584" spans="1:21" x14ac:dyDescent="0.2">
      <c r="A584" s="3">
        <v>583</v>
      </c>
      <c r="B584" s="5" t="s">
        <v>113</v>
      </c>
      <c r="C584" s="5" t="s">
        <v>1220</v>
      </c>
      <c r="F584" s="4" t="s">
        <v>602</v>
      </c>
      <c r="J584" s="19" t="s">
        <v>643</v>
      </c>
      <c r="L584" s="21" t="s">
        <v>2560</v>
      </c>
      <c r="O584" s="12" t="s">
        <v>1804</v>
      </c>
      <c r="Q584" s="21" t="s">
        <v>986</v>
      </c>
      <c r="T584" s="12" t="s">
        <v>986</v>
      </c>
      <c r="U584" s="5" t="s">
        <v>986</v>
      </c>
    </row>
    <row r="585" spans="1:21" x14ac:dyDescent="0.2">
      <c r="A585" s="3">
        <v>584</v>
      </c>
      <c r="B585" s="5" t="s">
        <v>114</v>
      </c>
      <c r="C585" s="5" t="s">
        <v>1220</v>
      </c>
      <c r="F585" s="4" t="s">
        <v>603</v>
      </c>
      <c r="J585" s="19" t="s">
        <v>644</v>
      </c>
      <c r="L585" s="21" t="s">
        <v>2561</v>
      </c>
      <c r="O585" s="12" t="s">
        <v>1804</v>
      </c>
      <c r="Q585" s="21" t="s">
        <v>987</v>
      </c>
      <c r="T585" s="12" t="s">
        <v>987</v>
      </c>
      <c r="U585" s="5" t="s">
        <v>987</v>
      </c>
    </row>
    <row r="586" spans="1:21" x14ac:dyDescent="0.2">
      <c r="A586" s="3">
        <v>585</v>
      </c>
      <c r="B586" s="5" t="s">
        <v>1464</v>
      </c>
      <c r="C586" s="5" t="s">
        <v>1174</v>
      </c>
      <c r="D586" s="5" t="s">
        <v>1168</v>
      </c>
      <c r="I586" s="24" t="s">
        <v>719</v>
      </c>
      <c r="N586" s="9" t="s">
        <v>3248</v>
      </c>
      <c r="U586" s="5" t="s">
        <v>1713</v>
      </c>
    </row>
    <row r="587" spans="1:21" x14ac:dyDescent="0.2">
      <c r="A587" s="3">
        <v>586</v>
      </c>
      <c r="B587" s="5" t="s">
        <v>1465</v>
      </c>
      <c r="C587" s="5" t="s">
        <v>1174</v>
      </c>
      <c r="D587" s="5" t="s">
        <v>1168</v>
      </c>
      <c r="I587" s="11" t="s">
        <v>720</v>
      </c>
      <c r="N587" s="9" t="s">
        <v>3249</v>
      </c>
      <c r="S587" s="9" t="s">
        <v>3075</v>
      </c>
      <c r="U587" s="5" t="s">
        <v>3075</v>
      </c>
    </row>
    <row r="588" spans="1:21" x14ac:dyDescent="0.2">
      <c r="A588" s="3">
        <v>587</v>
      </c>
      <c r="B588" s="5" t="s">
        <v>179</v>
      </c>
      <c r="C588" s="5" t="s">
        <v>1179</v>
      </c>
      <c r="D588" s="5" t="s">
        <v>1171</v>
      </c>
      <c r="J588" s="19" t="s">
        <v>709</v>
      </c>
      <c r="O588" s="12" t="s">
        <v>1694</v>
      </c>
      <c r="T588" s="12" t="s">
        <v>1713</v>
      </c>
      <c r="U588" s="5" t="s">
        <v>1713</v>
      </c>
    </row>
    <row r="589" spans="1:21" x14ac:dyDescent="0.2">
      <c r="A589" s="3">
        <v>588</v>
      </c>
      <c r="B589" s="5" t="s">
        <v>440</v>
      </c>
      <c r="C589" s="5" t="s">
        <v>1173</v>
      </c>
      <c r="F589" s="4" t="s">
        <v>802</v>
      </c>
      <c r="L589" s="21" t="s">
        <v>2671</v>
      </c>
      <c r="U589" s="5" t="s">
        <v>1713</v>
      </c>
    </row>
    <row r="590" spans="1:21" x14ac:dyDescent="0.2">
      <c r="A590" s="3">
        <v>589</v>
      </c>
      <c r="B590" s="5" t="s">
        <v>441</v>
      </c>
      <c r="C590" s="5" t="s">
        <v>1173</v>
      </c>
      <c r="D590" s="5" t="s">
        <v>1214</v>
      </c>
      <c r="F590" s="4" t="s">
        <v>803</v>
      </c>
      <c r="L590" s="21" t="s">
        <v>1138</v>
      </c>
      <c r="Q590" s="21" t="s">
        <v>1139</v>
      </c>
      <c r="U590" s="5" t="s">
        <v>1139</v>
      </c>
    </row>
    <row r="591" spans="1:21" x14ac:dyDescent="0.2">
      <c r="A591" s="3">
        <v>590</v>
      </c>
      <c r="B591" s="5" t="s">
        <v>1466</v>
      </c>
      <c r="C591" s="5" t="s">
        <v>1168</v>
      </c>
      <c r="D591" s="5" t="s">
        <v>1169</v>
      </c>
      <c r="I591" s="11" t="s">
        <v>734</v>
      </c>
      <c r="N591" s="9" t="s">
        <v>3262</v>
      </c>
      <c r="U591" s="5" t="s">
        <v>1713</v>
      </c>
    </row>
    <row r="592" spans="1:21" x14ac:dyDescent="0.2">
      <c r="A592" s="3">
        <v>591</v>
      </c>
      <c r="B592" s="5" t="s">
        <v>1467</v>
      </c>
      <c r="C592" s="5" t="s">
        <v>1168</v>
      </c>
      <c r="D592" s="5" t="s">
        <v>1169</v>
      </c>
      <c r="I592" s="11" t="s">
        <v>735</v>
      </c>
      <c r="N592" s="9" t="s">
        <v>3262</v>
      </c>
      <c r="S592" s="9" t="s">
        <v>3009</v>
      </c>
      <c r="U592" s="5" t="s">
        <v>3009</v>
      </c>
    </row>
    <row r="593" spans="1:21" x14ac:dyDescent="0.2">
      <c r="A593" s="3">
        <v>592</v>
      </c>
      <c r="B593" s="5" t="s">
        <v>463</v>
      </c>
      <c r="C593" s="5" t="s">
        <v>1172</v>
      </c>
      <c r="D593" s="5" t="s">
        <v>1223</v>
      </c>
      <c r="F593" s="4" t="s">
        <v>834</v>
      </c>
      <c r="L593" s="21" t="s">
        <v>2689</v>
      </c>
      <c r="U593" s="5" t="s">
        <v>1713</v>
      </c>
    </row>
    <row r="594" spans="1:21" x14ac:dyDescent="0.2">
      <c r="A594" s="3">
        <v>593</v>
      </c>
      <c r="B594" s="5" t="s">
        <v>464</v>
      </c>
      <c r="C594" s="5" t="s">
        <v>1172</v>
      </c>
      <c r="D594" s="5" t="s">
        <v>1223</v>
      </c>
      <c r="F594" s="4" t="s">
        <v>835</v>
      </c>
      <c r="L594" s="21" t="s">
        <v>2745</v>
      </c>
      <c r="Q594" s="21" t="s">
        <v>1082</v>
      </c>
      <c r="U594" s="5" t="s">
        <v>1082</v>
      </c>
    </row>
    <row r="595" spans="1:21" x14ac:dyDescent="0.2">
      <c r="A595" s="3">
        <v>594</v>
      </c>
      <c r="B595" s="5" t="s">
        <v>1468</v>
      </c>
      <c r="C595" s="5" t="s">
        <v>1172</v>
      </c>
      <c r="I595" s="11" t="s">
        <v>865</v>
      </c>
      <c r="N595" s="9" t="s">
        <v>3343</v>
      </c>
      <c r="U595" s="5" t="s">
        <v>1713</v>
      </c>
    </row>
    <row r="596" spans="1:21" x14ac:dyDescent="0.2">
      <c r="A596" s="3">
        <v>595</v>
      </c>
      <c r="B596" s="5" t="s">
        <v>290</v>
      </c>
      <c r="C596" s="5" t="s">
        <v>1173</v>
      </c>
      <c r="D596" s="5" t="s">
        <v>1179</v>
      </c>
      <c r="F596" s="4" t="s">
        <v>593</v>
      </c>
      <c r="L596" s="21" t="s">
        <v>2525</v>
      </c>
      <c r="Q596" s="21" t="s">
        <v>982</v>
      </c>
      <c r="U596" s="5" t="s">
        <v>982</v>
      </c>
    </row>
    <row r="597" spans="1:21" x14ac:dyDescent="0.2">
      <c r="A597" s="3">
        <v>596</v>
      </c>
      <c r="B597" s="5" t="s">
        <v>291</v>
      </c>
      <c r="C597" s="5" t="s">
        <v>1173</v>
      </c>
      <c r="D597" s="5" t="s">
        <v>1179</v>
      </c>
      <c r="F597" s="4" t="s">
        <v>594</v>
      </c>
      <c r="L597" s="21" t="s">
        <v>2538</v>
      </c>
      <c r="U597" s="5" t="s">
        <v>1713</v>
      </c>
    </row>
    <row r="598" spans="1:21" x14ac:dyDescent="0.2">
      <c r="A598" s="3">
        <v>597</v>
      </c>
      <c r="B598" s="5" t="s">
        <v>385</v>
      </c>
      <c r="C598" s="5" t="s">
        <v>1168</v>
      </c>
      <c r="D598" s="5" t="s">
        <v>1214</v>
      </c>
      <c r="F598" s="4" t="s">
        <v>718</v>
      </c>
      <c r="L598" s="21" t="s">
        <v>2724</v>
      </c>
      <c r="U598" s="5" t="s">
        <v>1713</v>
      </c>
    </row>
    <row r="599" spans="1:21" x14ac:dyDescent="0.2">
      <c r="A599" s="3">
        <v>598</v>
      </c>
      <c r="B599" s="5" t="s">
        <v>386</v>
      </c>
      <c r="C599" s="5" t="s">
        <v>1168</v>
      </c>
      <c r="D599" s="5" t="s">
        <v>1214</v>
      </c>
      <c r="F599" s="4" t="s">
        <v>719</v>
      </c>
      <c r="L599" s="21" t="s">
        <v>2725</v>
      </c>
      <c r="Q599" s="21" t="s">
        <v>1039</v>
      </c>
      <c r="U599" s="5" t="s">
        <v>1039</v>
      </c>
    </row>
    <row r="600" spans="1:21" x14ac:dyDescent="0.2">
      <c r="A600" s="3">
        <v>599</v>
      </c>
      <c r="B600" s="5" t="s">
        <v>326</v>
      </c>
      <c r="C600" s="5" t="s">
        <v>1214</v>
      </c>
      <c r="F600" s="4" t="s">
        <v>642</v>
      </c>
      <c r="L600" s="21" t="s">
        <v>2590</v>
      </c>
      <c r="U600" s="5" t="s">
        <v>1713</v>
      </c>
    </row>
    <row r="601" spans="1:21" x14ac:dyDescent="0.2">
      <c r="A601" s="3">
        <v>600</v>
      </c>
      <c r="B601" s="5" t="s">
        <v>327</v>
      </c>
      <c r="C601" s="5" t="s">
        <v>1214</v>
      </c>
      <c r="F601" s="4" t="s">
        <v>643</v>
      </c>
      <c r="L601" s="21" t="s">
        <v>2591</v>
      </c>
      <c r="Q601" s="21" t="s">
        <v>1002</v>
      </c>
      <c r="U601" s="5" t="s">
        <v>1002</v>
      </c>
    </row>
    <row r="602" spans="1:21" x14ac:dyDescent="0.2">
      <c r="A602" s="3">
        <v>601</v>
      </c>
      <c r="B602" s="5" t="s">
        <v>328</v>
      </c>
      <c r="C602" s="5" t="s">
        <v>1214</v>
      </c>
      <c r="F602" s="4" t="s">
        <v>644</v>
      </c>
      <c r="L602" s="21" t="s">
        <v>2592</v>
      </c>
      <c r="Q602" s="21" t="s">
        <v>1003</v>
      </c>
      <c r="U602" s="5" t="s">
        <v>1003</v>
      </c>
    </row>
    <row r="603" spans="1:21" x14ac:dyDescent="0.2">
      <c r="A603" s="3">
        <v>602</v>
      </c>
      <c r="B603" s="5" t="s">
        <v>141</v>
      </c>
      <c r="C603" s="5" t="s">
        <v>1179</v>
      </c>
      <c r="I603" s="11" t="s">
        <v>870</v>
      </c>
      <c r="J603" s="19" t="s">
        <v>671</v>
      </c>
      <c r="N603" s="9" t="s">
        <v>3348</v>
      </c>
      <c r="O603" s="12" t="s">
        <v>1689</v>
      </c>
      <c r="T603" s="12" t="s">
        <v>1713</v>
      </c>
      <c r="U603" s="5" t="s">
        <v>1713</v>
      </c>
    </row>
    <row r="604" spans="1:21" x14ac:dyDescent="0.2">
      <c r="A604" s="3">
        <v>603</v>
      </c>
      <c r="B604" s="5" t="s">
        <v>142</v>
      </c>
      <c r="C604" s="5" t="s">
        <v>1179</v>
      </c>
      <c r="I604" s="11" t="s">
        <v>871</v>
      </c>
      <c r="J604" s="19" t="s">
        <v>672</v>
      </c>
      <c r="N604" s="9" t="s">
        <v>3349</v>
      </c>
      <c r="O604" s="12" t="s">
        <v>1804</v>
      </c>
      <c r="S604" s="9" t="s">
        <v>1765</v>
      </c>
      <c r="T604" s="12" t="s">
        <v>1765</v>
      </c>
      <c r="U604" s="5" t="s">
        <v>1765</v>
      </c>
    </row>
    <row r="605" spans="1:21" x14ac:dyDescent="0.2">
      <c r="A605" s="3">
        <v>604</v>
      </c>
      <c r="B605" s="5" t="s">
        <v>143</v>
      </c>
      <c r="C605" s="5" t="s">
        <v>1179</v>
      </c>
      <c r="I605" s="11" t="s">
        <v>872</v>
      </c>
      <c r="J605" s="19" t="s">
        <v>673</v>
      </c>
      <c r="N605" s="9" t="s">
        <v>3550</v>
      </c>
      <c r="O605" s="12" t="s">
        <v>1804</v>
      </c>
      <c r="S605" s="9" t="s">
        <v>1742</v>
      </c>
      <c r="T605" s="12" t="s">
        <v>1742</v>
      </c>
      <c r="U605" s="5" t="s">
        <v>1742</v>
      </c>
    </row>
    <row r="606" spans="1:21" x14ac:dyDescent="0.2">
      <c r="A606" s="3">
        <v>605</v>
      </c>
      <c r="B606" s="5" t="s">
        <v>444</v>
      </c>
      <c r="C606" s="5" t="s">
        <v>1206</v>
      </c>
      <c r="F606" s="4" t="s">
        <v>806</v>
      </c>
      <c r="L606" s="21" t="s">
        <v>2672</v>
      </c>
      <c r="U606" s="5" t="s">
        <v>1713</v>
      </c>
    </row>
    <row r="607" spans="1:21" x14ac:dyDescent="0.2">
      <c r="A607" s="3">
        <v>606</v>
      </c>
      <c r="B607" s="5" t="s">
        <v>445</v>
      </c>
      <c r="C607" s="5" t="s">
        <v>1206</v>
      </c>
      <c r="F607" s="4" t="s">
        <v>807</v>
      </c>
      <c r="L607" s="21" t="s">
        <v>2673</v>
      </c>
      <c r="Q607" s="21" t="s">
        <v>1073</v>
      </c>
      <c r="U607" s="5" t="s">
        <v>1073</v>
      </c>
    </row>
    <row r="608" spans="1:21" x14ac:dyDescent="0.2">
      <c r="A608" s="3">
        <v>607</v>
      </c>
      <c r="B608" s="5" t="s">
        <v>188</v>
      </c>
      <c r="C608" s="5" t="s">
        <v>1223</v>
      </c>
      <c r="D608" s="5" t="s">
        <v>1170</v>
      </c>
      <c r="F608" s="4" t="s">
        <v>816</v>
      </c>
      <c r="J608" s="19" t="s">
        <v>718</v>
      </c>
      <c r="L608" s="21" t="s">
        <v>2681</v>
      </c>
      <c r="O608" s="12" t="s">
        <v>1691</v>
      </c>
      <c r="T608" s="12" t="s">
        <v>1713</v>
      </c>
      <c r="U608" s="5" t="s">
        <v>1713</v>
      </c>
    </row>
    <row r="609" spans="1:21" x14ac:dyDescent="0.2">
      <c r="A609" s="3">
        <v>608</v>
      </c>
      <c r="B609" s="5" t="s">
        <v>189</v>
      </c>
      <c r="C609" s="5" t="s">
        <v>1223</v>
      </c>
      <c r="D609" s="5" t="s">
        <v>1170</v>
      </c>
      <c r="F609" s="4" t="s">
        <v>817</v>
      </c>
      <c r="J609" s="19" t="s">
        <v>719</v>
      </c>
      <c r="L609" s="21" t="s">
        <v>2740</v>
      </c>
      <c r="O609" s="12" t="s">
        <v>2414</v>
      </c>
      <c r="Q609" s="21" t="s">
        <v>1078</v>
      </c>
      <c r="T609" s="12" t="s">
        <v>1078</v>
      </c>
      <c r="U609" s="5" t="s">
        <v>1078</v>
      </c>
    </row>
    <row r="610" spans="1:21" x14ac:dyDescent="0.2">
      <c r="A610" s="3">
        <v>609</v>
      </c>
      <c r="B610" s="5" t="s">
        <v>190</v>
      </c>
      <c r="C610" s="5" t="s">
        <v>1223</v>
      </c>
      <c r="D610" s="5" t="s">
        <v>1170</v>
      </c>
      <c r="F610" s="4" t="s">
        <v>818</v>
      </c>
      <c r="J610" s="19" t="s">
        <v>720</v>
      </c>
      <c r="L610" s="21" t="s">
        <v>2636</v>
      </c>
      <c r="O610" s="12" t="s">
        <v>1804</v>
      </c>
      <c r="Q610" s="21" t="s">
        <v>1079</v>
      </c>
      <c r="T610" s="12" t="s">
        <v>1079</v>
      </c>
      <c r="U610" s="5" t="s">
        <v>1079</v>
      </c>
    </row>
    <row r="611" spans="1:21" x14ac:dyDescent="0.2">
      <c r="A611" s="3">
        <v>610</v>
      </c>
      <c r="B611" s="5" t="s">
        <v>477</v>
      </c>
      <c r="C611" s="5" t="s">
        <v>1249</v>
      </c>
      <c r="F611" s="4" t="s">
        <v>853</v>
      </c>
      <c r="I611" s="11" t="s">
        <v>684</v>
      </c>
      <c r="L611" s="21" t="s">
        <v>2697</v>
      </c>
      <c r="N611" s="9" t="s">
        <v>3225</v>
      </c>
      <c r="U611" s="5" t="s">
        <v>1713</v>
      </c>
    </row>
    <row r="612" spans="1:21" x14ac:dyDescent="0.2">
      <c r="A612" s="3">
        <v>611</v>
      </c>
      <c r="B612" s="5" t="s">
        <v>478</v>
      </c>
      <c r="C612" s="5" t="s">
        <v>1249</v>
      </c>
      <c r="F612" s="4" t="s">
        <v>854</v>
      </c>
      <c r="I612" s="11" t="s">
        <v>685</v>
      </c>
      <c r="L612" s="21" t="s">
        <v>3550</v>
      </c>
      <c r="N612" s="9" t="s">
        <v>3226</v>
      </c>
      <c r="Q612" s="21" t="s">
        <v>1090</v>
      </c>
      <c r="S612" s="9" t="s">
        <v>1090</v>
      </c>
      <c r="U612" s="5" t="s">
        <v>1090</v>
      </c>
    </row>
    <row r="613" spans="1:21" x14ac:dyDescent="0.2">
      <c r="A613" s="3">
        <v>612</v>
      </c>
      <c r="B613" s="5" t="s">
        <v>479</v>
      </c>
      <c r="C613" s="5" t="s">
        <v>1249</v>
      </c>
      <c r="F613" s="4" t="s">
        <v>855</v>
      </c>
      <c r="I613" s="11" t="s">
        <v>686</v>
      </c>
      <c r="L613" s="21" t="s">
        <v>2690</v>
      </c>
      <c r="N613" s="9" t="s">
        <v>3550</v>
      </c>
      <c r="Q613" s="21" t="s">
        <v>1091</v>
      </c>
      <c r="S613" s="9" t="s">
        <v>1091</v>
      </c>
      <c r="U613" s="5" t="s">
        <v>1091</v>
      </c>
    </row>
    <row r="614" spans="1:21" x14ac:dyDescent="0.2">
      <c r="A614" s="3">
        <v>613</v>
      </c>
      <c r="B614" s="5" t="s">
        <v>446</v>
      </c>
      <c r="C614" s="5" t="s">
        <v>1220</v>
      </c>
      <c r="F614" s="4" t="s">
        <v>808</v>
      </c>
      <c r="I614" s="11" t="s">
        <v>884</v>
      </c>
      <c r="L614" s="21" t="s">
        <v>2578</v>
      </c>
      <c r="N614" s="9" t="s">
        <v>3358</v>
      </c>
      <c r="U614" s="5" t="s">
        <v>1713</v>
      </c>
    </row>
    <row r="615" spans="1:21" x14ac:dyDescent="0.2">
      <c r="A615" s="3">
        <v>614</v>
      </c>
      <c r="B615" s="5" t="s">
        <v>447</v>
      </c>
      <c r="C615" s="5" t="s">
        <v>1220</v>
      </c>
      <c r="F615" s="4" t="s">
        <v>809</v>
      </c>
      <c r="I615" s="11" t="s">
        <v>885</v>
      </c>
      <c r="L615" s="21" t="s">
        <v>2674</v>
      </c>
      <c r="N615" s="9" t="s">
        <v>3359</v>
      </c>
      <c r="Q615" s="21" t="s">
        <v>1074</v>
      </c>
      <c r="S615" s="9" t="s">
        <v>1074</v>
      </c>
      <c r="U615" s="5" t="s">
        <v>1074</v>
      </c>
    </row>
    <row r="616" spans="1:21" x14ac:dyDescent="0.2">
      <c r="A616" s="3">
        <v>615</v>
      </c>
      <c r="B616" s="5" t="s">
        <v>1469</v>
      </c>
      <c r="C616" s="5" t="s">
        <v>1220</v>
      </c>
      <c r="I616" s="11" t="s">
        <v>889</v>
      </c>
      <c r="N616" s="9" t="s">
        <v>3245</v>
      </c>
      <c r="U616" s="5" t="s">
        <v>1713</v>
      </c>
    </row>
    <row r="617" spans="1:21" x14ac:dyDescent="0.2">
      <c r="A617" s="3">
        <v>616</v>
      </c>
      <c r="B617" s="5" t="s">
        <v>442</v>
      </c>
      <c r="C617" s="5" t="s">
        <v>1173</v>
      </c>
      <c r="F617" s="4" t="s">
        <v>804</v>
      </c>
      <c r="L617" s="21" t="s">
        <v>2739</v>
      </c>
      <c r="U617" s="5" t="s">
        <v>1713</v>
      </c>
    </row>
    <row r="618" spans="1:21" x14ac:dyDescent="0.2">
      <c r="A618" s="3">
        <v>617</v>
      </c>
      <c r="B618" s="5" t="s">
        <v>443</v>
      </c>
      <c r="C618" s="5" t="s">
        <v>1173</v>
      </c>
      <c r="F618" s="4" t="s">
        <v>805</v>
      </c>
      <c r="L618" s="21" t="s">
        <v>1138</v>
      </c>
      <c r="Q618" s="21" t="s">
        <v>1140</v>
      </c>
      <c r="U618" s="5" t="s">
        <v>1140</v>
      </c>
    </row>
    <row r="619" spans="1:21" x14ac:dyDescent="0.2">
      <c r="A619" s="3">
        <v>618</v>
      </c>
      <c r="B619" s="5" t="s">
        <v>156</v>
      </c>
      <c r="C619" s="5" t="s">
        <v>1181</v>
      </c>
      <c r="D619" s="5" t="s">
        <v>1179</v>
      </c>
      <c r="J619" s="19" t="s">
        <v>686</v>
      </c>
      <c r="O619" s="12" t="s">
        <v>1690</v>
      </c>
      <c r="T619" s="12" t="s">
        <v>1713</v>
      </c>
      <c r="U619" s="5" t="s">
        <v>1713</v>
      </c>
    </row>
    <row r="620" spans="1:21" x14ac:dyDescent="0.2">
      <c r="A620" s="3">
        <v>619</v>
      </c>
      <c r="B620" s="5" t="s">
        <v>1470</v>
      </c>
      <c r="C620" s="5" t="s">
        <v>1201</v>
      </c>
      <c r="U620" s="5" t="s">
        <v>1713</v>
      </c>
    </row>
    <row r="621" spans="1:21" x14ac:dyDescent="0.2">
      <c r="A621" s="3">
        <v>620</v>
      </c>
      <c r="B621" s="5" t="s">
        <v>1471</v>
      </c>
      <c r="C621" s="5" t="s">
        <v>1201</v>
      </c>
      <c r="U621" s="5" t="s">
        <v>1713</v>
      </c>
    </row>
    <row r="622" spans="1:21" x14ac:dyDescent="0.2">
      <c r="A622" s="3">
        <v>621</v>
      </c>
      <c r="B622" s="5" t="s">
        <v>1472</v>
      </c>
      <c r="C622" s="5" t="s">
        <v>1249</v>
      </c>
      <c r="U622" s="5" t="s">
        <v>1713</v>
      </c>
    </row>
    <row r="623" spans="1:21" x14ac:dyDescent="0.2">
      <c r="A623" s="3">
        <v>622</v>
      </c>
      <c r="B623" s="5" t="s">
        <v>305</v>
      </c>
      <c r="C623" s="5" t="s">
        <v>1181</v>
      </c>
      <c r="D623" s="5" t="s">
        <v>1223</v>
      </c>
      <c r="F623" s="4" t="s">
        <v>617</v>
      </c>
      <c r="L623" s="21" t="s">
        <v>2572</v>
      </c>
      <c r="U623" s="5" t="s">
        <v>1713</v>
      </c>
    </row>
    <row r="624" spans="1:21" x14ac:dyDescent="0.2">
      <c r="A624" s="3">
        <v>623</v>
      </c>
      <c r="B624" s="5" t="s">
        <v>306</v>
      </c>
      <c r="C624" s="5" t="s">
        <v>1181</v>
      </c>
      <c r="D624" s="5" t="s">
        <v>1223</v>
      </c>
      <c r="F624" s="4" t="s">
        <v>618</v>
      </c>
      <c r="L624" s="21" t="s">
        <v>2573</v>
      </c>
      <c r="Q624" s="21" t="s">
        <v>993</v>
      </c>
      <c r="U624" s="5" t="s">
        <v>993</v>
      </c>
    </row>
    <row r="625" spans="1:21" x14ac:dyDescent="0.2">
      <c r="A625" s="3">
        <v>624</v>
      </c>
      <c r="B625" s="5" t="s">
        <v>416</v>
      </c>
      <c r="C625" s="5" t="s">
        <v>1270</v>
      </c>
      <c r="D625" s="5" t="s">
        <v>1214</v>
      </c>
      <c r="F625" s="4" t="s">
        <v>775</v>
      </c>
      <c r="I625" s="11" t="s">
        <v>896</v>
      </c>
      <c r="L625" s="21" t="s">
        <v>2664</v>
      </c>
      <c r="N625" s="9" t="s">
        <v>3363</v>
      </c>
      <c r="U625" s="5" t="s">
        <v>1713</v>
      </c>
    </row>
    <row r="626" spans="1:21" x14ac:dyDescent="0.2">
      <c r="A626" s="3">
        <v>625</v>
      </c>
      <c r="B626" s="5" t="s">
        <v>417</v>
      </c>
      <c r="C626" s="5" t="s">
        <v>1270</v>
      </c>
      <c r="D626" s="5" t="s">
        <v>1214</v>
      </c>
      <c r="F626" s="4" t="s">
        <v>776</v>
      </c>
      <c r="I626" s="11" t="s">
        <v>897</v>
      </c>
      <c r="L626" s="21" t="s">
        <v>2626</v>
      </c>
      <c r="N626" s="9" t="s">
        <v>3364</v>
      </c>
      <c r="Q626" s="21" t="s">
        <v>1062</v>
      </c>
      <c r="S626" s="9" t="s">
        <v>1062</v>
      </c>
      <c r="U626" s="5" t="s">
        <v>1062</v>
      </c>
    </row>
    <row r="627" spans="1:21" x14ac:dyDescent="0.2">
      <c r="A627" s="3">
        <v>626</v>
      </c>
      <c r="B627" s="5" t="s">
        <v>1473</v>
      </c>
      <c r="C627" s="5" t="s">
        <v>1174</v>
      </c>
      <c r="U627" s="5" t="s">
        <v>1713</v>
      </c>
    </row>
    <row r="628" spans="1:21" x14ac:dyDescent="0.2">
      <c r="A628" s="3">
        <v>627</v>
      </c>
      <c r="B628" s="5" t="s">
        <v>448</v>
      </c>
      <c r="C628" s="5" t="s">
        <v>1174</v>
      </c>
      <c r="D628" s="5" t="s">
        <v>1171</v>
      </c>
      <c r="F628" s="4" t="s">
        <v>810</v>
      </c>
      <c r="I628" s="11" t="s">
        <v>894</v>
      </c>
      <c r="L628" s="21" t="s">
        <v>2675</v>
      </c>
      <c r="N628" s="9" t="s">
        <v>3289</v>
      </c>
      <c r="U628" s="5" t="s">
        <v>1713</v>
      </c>
    </row>
    <row r="629" spans="1:21" x14ac:dyDescent="0.2">
      <c r="A629" s="3">
        <v>628</v>
      </c>
      <c r="B629" s="5" t="s">
        <v>449</v>
      </c>
      <c r="C629" s="5" t="s">
        <v>1174</v>
      </c>
      <c r="D629" s="5" t="s">
        <v>1171</v>
      </c>
      <c r="F629" s="4" t="s">
        <v>811</v>
      </c>
      <c r="I629" s="11" t="s">
        <v>895</v>
      </c>
      <c r="L629" s="21" t="s">
        <v>2676</v>
      </c>
      <c r="N629" s="9" t="s">
        <v>3189</v>
      </c>
      <c r="Q629" s="21" t="s">
        <v>1075</v>
      </c>
      <c r="S629" s="9" t="s">
        <v>1075</v>
      </c>
      <c r="U629" s="5" t="s">
        <v>1075</v>
      </c>
    </row>
    <row r="630" spans="1:21" x14ac:dyDescent="0.2">
      <c r="A630" s="3">
        <v>629</v>
      </c>
      <c r="B630" s="5" t="s">
        <v>450</v>
      </c>
      <c r="C630" s="5" t="s">
        <v>1270</v>
      </c>
      <c r="D630" s="5" t="s">
        <v>1171</v>
      </c>
      <c r="F630" s="4" t="s">
        <v>812</v>
      </c>
      <c r="L630" s="21" t="s">
        <v>2677</v>
      </c>
      <c r="U630" s="5" t="s">
        <v>1713</v>
      </c>
    </row>
    <row r="631" spans="1:21" x14ac:dyDescent="0.2">
      <c r="A631" s="3">
        <v>630</v>
      </c>
      <c r="B631" s="5" t="s">
        <v>451</v>
      </c>
      <c r="C631" s="5" t="s">
        <v>1270</v>
      </c>
      <c r="D631" s="5" t="s">
        <v>1171</v>
      </c>
      <c r="F631" s="4" t="s">
        <v>813</v>
      </c>
      <c r="L631" s="21" t="s">
        <v>2678</v>
      </c>
      <c r="Q631" s="21" t="s">
        <v>1076</v>
      </c>
      <c r="U631" s="5" t="s">
        <v>1076</v>
      </c>
    </row>
    <row r="632" spans="1:21" x14ac:dyDescent="0.2">
      <c r="A632" s="3">
        <v>631</v>
      </c>
      <c r="B632" s="5" t="s">
        <v>473</v>
      </c>
      <c r="C632" s="5" t="s">
        <v>1170</v>
      </c>
      <c r="F632" s="4" t="s">
        <v>846</v>
      </c>
      <c r="L632" s="21" t="s">
        <v>2747</v>
      </c>
      <c r="U632" s="5" t="s">
        <v>1713</v>
      </c>
    </row>
    <row r="633" spans="1:21" x14ac:dyDescent="0.2">
      <c r="A633" s="3">
        <v>632</v>
      </c>
      <c r="B633" s="5" t="s">
        <v>472</v>
      </c>
      <c r="C633" s="5" t="s">
        <v>1173</v>
      </c>
      <c r="D633" s="5" t="s">
        <v>1214</v>
      </c>
      <c r="F633" s="4" t="s">
        <v>845</v>
      </c>
      <c r="L633" s="21" t="s">
        <v>2694</v>
      </c>
      <c r="U633" s="5" t="s">
        <v>1713</v>
      </c>
    </row>
    <row r="634" spans="1:21" x14ac:dyDescent="0.2">
      <c r="A634" s="3">
        <v>633</v>
      </c>
      <c r="B634" s="5" t="s">
        <v>520</v>
      </c>
      <c r="C634" s="5" t="s">
        <v>1270</v>
      </c>
      <c r="D634" s="5" t="s">
        <v>1249</v>
      </c>
      <c r="F634" s="4" t="s">
        <v>915</v>
      </c>
      <c r="I634" s="11" t="s">
        <v>899</v>
      </c>
      <c r="L634" s="21" t="s">
        <v>2769</v>
      </c>
      <c r="N634" s="9" t="s">
        <v>3365</v>
      </c>
      <c r="U634" s="5" t="s">
        <v>1713</v>
      </c>
    </row>
    <row r="635" spans="1:21" x14ac:dyDescent="0.2">
      <c r="A635" s="3">
        <v>634</v>
      </c>
      <c r="B635" s="5" t="s">
        <v>521</v>
      </c>
      <c r="C635" s="5" t="s">
        <v>1270</v>
      </c>
      <c r="D635" s="5" t="s">
        <v>1249</v>
      </c>
      <c r="F635" s="4" t="s">
        <v>916</v>
      </c>
      <c r="I635" s="11" t="s">
        <v>900</v>
      </c>
      <c r="L635" s="21" t="s">
        <v>2770</v>
      </c>
      <c r="N635" s="9" t="s">
        <v>3366</v>
      </c>
      <c r="Q635" s="21" t="s">
        <v>1105</v>
      </c>
      <c r="S635" s="9" t="s">
        <v>1105</v>
      </c>
      <c r="U635" s="5" t="s">
        <v>1105</v>
      </c>
    </row>
    <row r="636" spans="1:21" x14ac:dyDescent="0.2">
      <c r="A636" s="3">
        <v>635</v>
      </c>
      <c r="B636" s="5" t="s">
        <v>522</v>
      </c>
      <c r="C636" s="5" t="s">
        <v>1270</v>
      </c>
      <c r="D636" s="5" t="s">
        <v>1249</v>
      </c>
      <c r="F636" s="4" t="s">
        <v>917</v>
      </c>
      <c r="I636" s="11" t="s">
        <v>901</v>
      </c>
      <c r="L636" s="21" t="s">
        <v>3550</v>
      </c>
      <c r="N636" s="9" t="s">
        <v>3550</v>
      </c>
      <c r="Q636" s="21" t="s">
        <v>1106</v>
      </c>
      <c r="S636" s="9" t="s">
        <v>1106</v>
      </c>
      <c r="U636" s="5" t="s">
        <v>1106</v>
      </c>
    </row>
    <row r="637" spans="1:21" x14ac:dyDescent="0.2">
      <c r="A637" s="3">
        <v>636</v>
      </c>
      <c r="B637" s="5" t="s">
        <v>1474</v>
      </c>
      <c r="C637" s="5" t="s">
        <v>1173</v>
      </c>
      <c r="D637" s="5" t="s">
        <v>1170</v>
      </c>
      <c r="I637" s="11" t="s">
        <v>803</v>
      </c>
      <c r="N637" s="9" t="s">
        <v>3301</v>
      </c>
      <c r="U637" s="5" t="s">
        <v>1713</v>
      </c>
    </row>
    <row r="638" spans="1:21" x14ac:dyDescent="0.2">
      <c r="A638" s="3">
        <v>637</v>
      </c>
      <c r="B638" s="5" t="s">
        <v>1475</v>
      </c>
      <c r="C638" s="5" t="s">
        <v>1173</v>
      </c>
      <c r="D638" s="5" t="s">
        <v>1170</v>
      </c>
      <c r="I638" s="11" t="s">
        <v>804</v>
      </c>
      <c r="N638" s="9" t="s">
        <v>3302</v>
      </c>
      <c r="S638" s="9" t="s">
        <v>3085</v>
      </c>
      <c r="U638" s="5" t="s">
        <v>3085</v>
      </c>
    </row>
    <row r="639" spans="1:21" x14ac:dyDescent="0.2">
      <c r="A639" s="3">
        <v>638</v>
      </c>
      <c r="B639" s="5" t="s">
        <v>1476</v>
      </c>
      <c r="C639" s="5" t="s">
        <v>1214</v>
      </c>
      <c r="D639" s="5" t="s">
        <v>1201</v>
      </c>
      <c r="U639" s="5" t="s">
        <v>1713</v>
      </c>
    </row>
    <row r="640" spans="1:21" x14ac:dyDescent="0.2">
      <c r="A640" s="3">
        <v>639</v>
      </c>
      <c r="B640" s="5" t="s">
        <v>1477</v>
      </c>
      <c r="C640" s="5" t="s">
        <v>1210</v>
      </c>
      <c r="D640" s="5" t="s">
        <v>1201</v>
      </c>
      <c r="U640" s="5" t="s">
        <v>1713</v>
      </c>
    </row>
    <row r="641" spans="1:21" x14ac:dyDescent="0.2">
      <c r="A641" s="3">
        <v>640</v>
      </c>
      <c r="B641" s="5" t="s">
        <v>1478</v>
      </c>
      <c r="C641" s="5" t="s">
        <v>1168</v>
      </c>
      <c r="D641" s="5" t="s">
        <v>1201</v>
      </c>
      <c r="U641" s="5" t="s">
        <v>1713</v>
      </c>
    </row>
    <row r="642" spans="1:21" x14ac:dyDescent="0.2">
      <c r="A642" s="3">
        <v>641</v>
      </c>
      <c r="B642" s="5" t="s">
        <v>1479</v>
      </c>
      <c r="C642" s="5" t="s">
        <v>1171</v>
      </c>
      <c r="U642" s="5" t="s">
        <v>1713</v>
      </c>
    </row>
    <row r="643" spans="1:21" x14ac:dyDescent="0.2">
      <c r="A643" s="3">
        <v>642</v>
      </c>
      <c r="B643" s="5" t="s">
        <v>1480</v>
      </c>
      <c r="C643" s="5" t="s">
        <v>1179</v>
      </c>
      <c r="D643" s="5" t="s">
        <v>1171</v>
      </c>
      <c r="U643" s="5" t="s">
        <v>1713</v>
      </c>
    </row>
    <row r="644" spans="1:21" x14ac:dyDescent="0.2">
      <c r="A644" s="3">
        <v>643</v>
      </c>
      <c r="B644" s="5" t="s">
        <v>1481</v>
      </c>
      <c r="C644" s="5" t="s">
        <v>1249</v>
      </c>
      <c r="D644" s="5" t="s">
        <v>1170</v>
      </c>
      <c r="U644" s="5" t="s">
        <v>1713</v>
      </c>
    </row>
    <row r="645" spans="1:21" x14ac:dyDescent="0.2">
      <c r="A645" s="3">
        <v>644</v>
      </c>
      <c r="B645" s="5" t="s">
        <v>1482</v>
      </c>
      <c r="C645" s="5" t="s">
        <v>1249</v>
      </c>
      <c r="D645" s="5" t="s">
        <v>1179</v>
      </c>
      <c r="U645" s="5" t="s">
        <v>1713</v>
      </c>
    </row>
    <row r="646" spans="1:21" x14ac:dyDescent="0.2">
      <c r="A646" s="3">
        <v>645</v>
      </c>
      <c r="B646" s="5" t="s">
        <v>1483</v>
      </c>
      <c r="C646" s="5" t="s">
        <v>1181</v>
      </c>
      <c r="D646" s="5" t="s">
        <v>1171</v>
      </c>
      <c r="U646" s="5" t="s">
        <v>1713</v>
      </c>
    </row>
    <row r="647" spans="1:21" x14ac:dyDescent="0.2">
      <c r="A647" s="3">
        <v>646</v>
      </c>
      <c r="B647" s="5" t="s">
        <v>1484</v>
      </c>
      <c r="C647" s="5" t="s">
        <v>1249</v>
      </c>
      <c r="D647" s="5" t="s">
        <v>1220</v>
      </c>
      <c r="U647" s="5" t="s">
        <v>1713</v>
      </c>
    </row>
    <row r="648" spans="1:21" x14ac:dyDescent="0.2">
      <c r="A648" s="3">
        <v>647</v>
      </c>
      <c r="B648" s="5" t="s">
        <v>1485</v>
      </c>
      <c r="C648" s="5" t="s">
        <v>1172</v>
      </c>
      <c r="D648" s="5" t="s">
        <v>1201</v>
      </c>
      <c r="U648" s="5" t="s">
        <v>1713</v>
      </c>
    </row>
    <row r="649" spans="1:21" x14ac:dyDescent="0.2">
      <c r="A649" s="3">
        <v>648</v>
      </c>
      <c r="B649" s="5" t="s">
        <v>1486</v>
      </c>
      <c r="C649" s="5" t="s">
        <v>1174</v>
      </c>
      <c r="D649" s="5" t="s">
        <v>1206</v>
      </c>
      <c r="U649" s="5" t="s">
        <v>1713</v>
      </c>
    </row>
    <row r="650" spans="1:21" x14ac:dyDescent="0.2">
      <c r="A650" s="3">
        <v>649</v>
      </c>
      <c r="B650" s="5" t="s">
        <v>1487</v>
      </c>
      <c r="C650" s="5" t="s">
        <v>1173</v>
      </c>
      <c r="D650" s="5" t="s">
        <v>1214</v>
      </c>
      <c r="U650" s="5" t="s">
        <v>1713</v>
      </c>
    </row>
    <row r="651" spans="1:21" x14ac:dyDescent="0.2">
      <c r="A651" s="3">
        <v>650</v>
      </c>
      <c r="B651" s="5" t="s">
        <v>212</v>
      </c>
      <c r="C651" s="5" t="s">
        <v>1168</v>
      </c>
      <c r="J651" s="19" t="s">
        <v>742</v>
      </c>
      <c r="O651" s="12" t="s">
        <v>1696</v>
      </c>
      <c r="T651" s="12" t="s">
        <v>1713</v>
      </c>
      <c r="U651" s="5" t="s">
        <v>1713</v>
      </c>
    </row>
    <row r="652" spans="1:21" x14ac:dyDescent="0.2">
      <c r="A652" s="3">
        <v>651</v>
      </c>
      <c r="B652" s="5" t="s">
        <v>213</v>
      </c>
      <c r="C652" s="5" t="s">
        <v>1168</v>
      </c>
      <c r="J652" s="19" t="s">
        <v>743</v>
      </c>
      <c r="O652" s="12" t="s">
        <v>1804</v>
      </c>
      <c r="T652" s="12" t="s">
        <v>1781</v>
      </c>
      <c r="U652" s="5" t="s">
        <v>1781</v>
      </c>
    </row>
    <row r="653" spans="1:21" x14ac:dyDescent="0.2">
      <c r="A653" s="3">
        <v>652</v>
      </c>
      <c r="B653" s="5" t="s">
        <v>214</v>
      </c>
      <c r="C653" s="5" t="s">
        <v>1168</v>
      </c>
      <c r="D653" s="5" t="s">
        <v>1201</v>
      </c>
      <c r="J653" s="19" t="s">
        <v>744</v>
      </c>
      <c r="O653" s="12" t="s">
        <v>1804</v>
      </c>
      <c r="T653" s="12" t="s">
        <v>1782</v>
      </c>
      <c r="U653" s="5" t="s">
        <v>1782</v>
      </c>
    </row>
    <row r="654" spans="1:21" x14ac:dyDescent="0.2">
      <c r="A654" s="3">
        <v>653</v>
      </c>
      <c r="B654" s="5" t="s">
        <v>216</v>
      </c>
      <c r="C654" s="5" t="s">
        <v>1170</v>
      </c>
      <c r="J654" s="19" t="s">
        <v>746</v>
      </c>
      <c r="O654" s="12" t="s">
        <v>1695</v>
      </c>
      <c r="T654" s="12" t="s">
        <v>1713</v>
      </c>
      <c r="U654" s="5" t="s">
        <v>1713</v>
      </c>
    </row>
    <row r="655" spans="1:21" x14ac:dyDescent="0.2">
      <c r="A655" s="3">
        <v>654</v>
      </c>
      <c r="B655" s="5" t="s">
        <v>217</v>
      </c>
      <c r="C655" s="5" t="s">
        <v>1170</v>
      </c>
      <c r="J655" s="19" t="s">
        <v>747</v>
      </c>
      <c r="O655" s="12" t="s">
        <v>1804</v>
      </c>
      <c r="T655" s="12" t="s">
        <v>1783</v>
      </c>
      <c r="U655" s="5" t="s">
        <v>1783</v>
      </c>
    </row>
    <row r="656" spans="1:21" x14ac:dyDescent="0.2">
      <c r="A656" s="3">
        <v>655</v>
      </c>
      <c r="B656" s="5" t="s">
        <v>218</v>
      </c>
      <c r="C656" s="5" t="s">
        <v>1170</v>
      </c>
      <c r="D656" s="5" t="s">
        <v>1206</v>
      </c>
      <c r="J656" s="19" t="s">
        <v>748</v>
      </c>
      <c r="O656" s="12" t="s">
        <v>1804</v>
      </c>
      <c r="T656" s="12" t="s">
        <v>1784</v>
      </c>
      <c r="U656" s="5" t="s">
        <v>1784</v>
      </c>
    </row>
    <row r="657" spans="1:21" x14ac:dyDescent="0.2">
      <c r="A657" s="3">
        <v>656</v>
      </c>
      <c r="B657" s="5" t="s">
        <v>208</v>
      </c>
      <c r="C657" s="5" t="s">
        <v>1172</v>
      </c>
      <c r="J657" s="19" t="s">
        <v>738</v>
      </c>
      <c r="O657" s="12" t="s">
        <v>1698</v>
      </c>
      <c r="T657" s="12" t="s">
        <v>1713</v>
      </c>
      <c r="U657" s="5" t="s">
        <v>1713</v>
      </c>
    </row>
    <row r="658" spans="1:21" x14ac:dyDescent="0.2">
      <c r="A658" s="3">
        <v>657</v>
      </c>
      <c r="B658" s="5" t="s">
        <v>209</v>
      </c>
      <c r="C658" s="5" t="s">
        <v>1172</v>
      </c>
      <c r="J658" s="19" t="s">
        <v>739</v>
      </c>
      <c r="O658" s="12" t="s">
        <v>1804</v>
      </c>
      <c r="T658" s="12" t="s">
        <v>1779</v>
      </c>
      <c r="U658" s="5" t="s">
        <v>1779</v>
      </c>
    </row>
    <row r="659" spans="1:21" x14ac:dyDescent="0.2">
      <c r="A659" s="3">
        <v>658</v>
      </c>
      <c r="B659" s="5" t="s">
        <v>210</v>
      </c>
      <c r="C659" s="5" t="s">
        <v>1172</v>
      </c>
      <c r="D659" s="5" t="s">
        <v>1270</v>
      </c>
      <c r="J659" s="19" t="s">
        <v>740</v>
      </c>
      <c r="O659" s="12" t="s">
        <v>1804</v>
      </c>
      <c r="T659" s="12" t="s">
        <v>1780</v>
      </c>
      <c r="U659" s="5" t="s">
        <v>1780</v>
      </c>
    </row>
    <row r="660" spans="1:21" x14ac:dyDescent="0.2">
      <c r="A660" s="3">
        <v>659</v>
      </c>
      <c r="B660" s="5" t="s">
        <v>12</v>
      </c>
      <c r="C660" s="5" t="s">
        <v>1174</v>
      </c>
      <c r="F660" s="4" t="s">
        <v>577</v>
      </c>
      <c r="J660" s="19" t="s">
        <v>542</v>
      </c>
      <c r="L660" s="21" t="s">
        <v>2540</v>
      </c>
      <c r="O660" s="12" t="s">
        <v>1700</v>
      </c>
      <c r="T660" s="12" t="s">
        <v>1713</v>
      </c>
      <c r="U660" s="5" t="s">
        <v>1713</v>
      </c>
    </row>
    <row r="661" spans="1:21" x14ac:dyDescent="0.2">
      <c r="A661" s="3">
        <v>660</v>
      </c>
      <c r="B661" s="5" t="s">
        <v>13</v>
      </c>
      <c r="C661" s="5" t="s">
        <v>1174</v>
      </c>
      <c r="D661" s="5" t="s">
        <v>1181</v>
      </c>
      <c r="F661" s="4" t="s">
        <v>578</v>
      </c>
      <c r="J661" s="19" t="s">
        <v>543</v>
      </c>
      <c r="L661" s="21" t="s">
        <v>2541</v>
      </c>
      <c r="O661" s="12" t="s">
        <v>1696</v>
      </c>
      <c r="Q661" s="21" t="s">
        <v>975</v>
      </c>
      <c r="T661" s="12" t="s">
        <v>975</v>
      </c>
      <c r="U661" s="5" t="s">
        <v>975</v>
      </c>
    </row>
    <row r="662" spans="1:21" x14ac:dyDescent="0.2">
      <c r="A662" s="3">
        <v>661</v>
      </c>
      <c r="B662" s="5" t="s">
        <v>9</v>
      </c>
      <c r="C662" s="5" t="s">
        <v>1174</v>
      </c>
      <c r="D662" s="5" t="s">
        <v>1171</v>
      </c>
      <c r="I662" s="11" t="s">
        <v>548</v>
      </c>
      <c r="J662" s="19" t="s">
        <v>539</v>
      </c>
      <c r="N662" s="9" t="s">
        <v>3113</v>
      </c>
      <c r="O662" s="12" t="s">
        <v>1679</v>
      </c>
      <c r="T662" s="12" t="s">
        <v>1713</v>
      </c>
      <c r="U662" s="5" t="s">
        <v>1713</v>
      </c>
    </row>
    <row r="663" spans="1:21" x14ac:dyDescent="0.2">
      <c r="A663" s="3">
        <v>662</v>
      </c>
      <c r="B663" s="5" t="s">
        <v>10</v>
      </c>
      <c r="C663" s="5" t="s">
        <v>1170</v>
      </c>
      <c r="D663" s="5" t="s">
        <v>1171</v>
      </c>
      <c r="I663" s="11" t="s">
        <v>549</v>
      </c>
      <c r="J663" s="19" t="s">
        <v>540</v>
      </c>
      <c r="N663" s="9" t="s">
        <v>3114</v>
      </c>
      <c r="O663" s="12" t="s">
        <v>1688</v>
      </c>
      <c r="S663" s="9" t="s">
        <v>1720</v>
      </c>
      <c r="T663" s="12" t="s">
        <v>1720</v>
      </c>
      <c r="U663" s="5" t="s">
        <v>1720</v>
      </c>
    </row>
    <row r="664" spans="1:21" x14ac:dyDescent="0.2">
      <c r="A664" s="3">
        <v>663</v>
      </c>
      <c r="B664" s="5" t="s">
        <v>11</v>
      </c>
      <c r="C664" s="5" t="s">
        <v>1170</v>
      </c>
      <c r="D664" s="5" t="s">
        <v>1171</v>
      </c>
      <c r="I664" s="11" t="s">
        <v>550</v>
      </c>
      <c r="J664" s="19" t="s">
        <v>541</v>
      </c>
      <c r="N664" s="9" t="s">
        <v>3115</v>
      </c>
      <c r="O664" s="12" t="s">
        <v>1793</v>
      </c>
      <c r="S664" s="9" t="s">
        <v>1721</v>
      </c>
      <c r="T664" s="12" t="s">
        <v>1721</v>
      </c>
      <c r="U664" s="5" t="s">
        <v>1721</v>
      </c>
    </row>
    <row r="665" spans="1:21" x14ac:dyDescent="0.2">
      <c r="A665" s="3">
        <v>664</v>
      </c>
      <c r="B665" s="5" t="s">
        <v>14</v>
      </c>
      <c r="C665" s="5" t="s">
        <v>1173</v>
      </c>
      <c r="I665" s="11" t="s">
        <v>564</v>
      </c>
      <c r="J665" s="19" t="s">
        <v>544</v>
      </c>
      <c r="N665" s="9" t="s">
        <v>3127</v>
      </c>
      <c r="O665" s="12" t="s">
        <v>1679</v>
      </c>
      <c r="T665" s="12" t="s">
        <v>1713</v>
      </c>
      <c r="U665" s="5" t="s">
        <v>1713</v>
      </c>
    </row>
    <row r="666" spans="1:21" x14ac:dyDescent="0.2">
      <c r="A666" s="3">
        <v>665</v>
      </c>
      <c r="B666" s="5" t="s">
        <v>15</v>
      </c>
      <c r="C666" s="5" t="s">
        <v>1173</v>
      </c>
      <c r="I666" s="11" t="s">
        <v>565</v>
      </c>
      <c r="J666" s="19" t="s">
        <v>545</v>
      </c>
      <c r="N666" s="9" t="s">
        <v>3128</v>
      </c>
      <c r="O666" s="12" t="s">
        <v>2392</v>
      </c>
      <c r="S666" s="9" t="s">
        <v>1722</v>
      </c>
      <c r="T666" s="12" t="s">
        <v>1722</v>
      </c>
      <c r="U666" s="5" t="s">
        <v>1722</v>
      </c>
    </row>
    <row r="667" spans="1:21" x14ac:dyDescent="0.2">
      <c r="A667" s="3">
        <v>666</v>
      </c>
      <c r="B667" s="5" t="s">
        <v>16</v>
      </c>
      <c r="C667" s="5" t="s">
        <v>1173</v>
      </c>
      <c r="D667" s="5" t="s">
        <v>1171</v>
      </c>
      <c r="I667" s="24" t="s">
        <v>566</v>
      </c>
      <c r="J667" s="19" t="s">
        <v>546</v>
      </c>
      <c r="N667" s="9" t="s">
        <v>3129</v>
      </c>
      <c r="O667" s="12" t="s">
        <v>2393</v>
      </c>
      <c r="S667" s="9" t="s">
        <v>1723</v>
      </c>
      <c r="T667" s="12" t="s">
        <v>1723</v>
      </c>
      <c r="U667" s="5" t="s">
        <v>1723</v>
      </c>
    </row>
    <row r="668" spans="1:21" x14ac:dyDescent="0.2">
      <c r="A668" s="3">
        <v>667</v>
      </c>
      <c r="B668" s="5" t="s">
        <v>44</v>
      </c>
      <c r="C668" s="5" t="s">
        <v>1170</v>
      </c>
      <c r="D668" s="5" t="s">
        <v>1174</v>
      </c>
      <c r="I668" s="11" t="s">
        <v>753</v>
      </c>
      <c r="J668" s="19" t="s">
        <v>574</v>
      </c>
      <c r="N668" s="9" t="s">
        <v>3275</v>
      </c>
      <c r="O668" s="13" t="s">
        <v>1681</v>
      </c>
      <c r="T668" s="12" t="s">
        <v>1747</v>
      </c>
      <c r="U668" s="5" t="s">
        <v>1747</v>
      </c>
    </row>
    <row r="669" spans="1:21" x14ac:dyDescent="0.2">
      <c r="A669" s="3">
        <v>668</v>
      </c>
      <c r="B669" s="5" t="s">
        <v>45</v>
      </c>
      <c r="C669" s="5" t="s">
        <v>1170</v>
      </c>
      <c r="D669" s="5" t="s">
        <v>1174</v>
      </c>
      <c r="I669" s="11" t="s">
        <v>754</v>
      </c>
      <c r="J669" s="19" t="s">
        <v>575</v>
      </c>
      <c r="N669" s="9" t="s">
        <v>3276</v>
      </c>
      <c r="O669" s="13" t="s">
        <v>1696</v>
      </c>
      <c r="S669" s="9" t="s">
        <v>3078</v>
      </c>
      <c r="T669" s="12" t="s">
        <v>1713</v>
      </c>
      <c r="U669" s="5" t="s">
        <v>3078</v>
      </c>
    </row>
    <row r="670" spans="1:21" x14ac:dyDescent="0.2">
      <c r="A670" s="3">
        <v>669</v>
      </c>
      <c r="B670" s="5" t="s">
        <v>37</v>
      </c>
      <c r="C670" s="5" t="s">
        <v>1189</v>
      </c>
      <c r="I670" s="11" t="s">
        <v>674</v>
      </c>
      <c r="J670" s="19" t="s">
        <v>567</v>
      </c>
      <c r="N670" s="9" t="s">
        <v>3218</v>
      </c>
      <c r="O670" s="13" t="s">
        <v>2395</v>
      </c>
      <c r="T670" s="12" t="s">
        <v>1713</v>
      </c>
      <c r="U670" s="5" t="s">
        <v>1713</v>
      </c>
    </row>
    <row r="671" spans="1:21" x14ac:dyDescent="0.2">
      <c r="A671" s="3">
        <v>670</v>
      </c>
      <c r="B671" s="5" t="s">
        <v>38</v>
      </c>
      <c r="C671" s="5" t="s">
        <v>1189</v>
      </c>
      <c r="I671" s="11" t="s">
        <v>675</v>
      </c>
      <c r="J671" s="19" t="s">
        <v>568</v>
      </c>
      <c r="N671" s="9" t="s">
        <v>3219</v>
      </c>
      <c r="O671" s="13" t="s">
        <v>1687</v>
      </c>
      <c r="S671" s="9" t="s">
        <v>1745</v>
      </c>
      <c r="T671" s="12" t="s">
        <v>1745</v>
      </c>
      <c r="U671" s="5" t="s">
        <v>1745</v>
      </c>
    </row>
    <row r="672" spans="1:21" x14ac:dyDescent="0.2">
      <c r="A672" s="3">
        <v>671</v>
      </c>
      <c r="B672" s="5" t="s">
        <v>39</v>
      </c>
      <c r="C672" s="5" t="s">
        <v>1189</v>
      </c>
      <c r="I672" s="11" t="s">
        <v>676</v>
      </c>
      <c r="J672" s="19" t="s">
        <v>569</v>
      </c>
      <c r="N672" s="9" t="s">
        <v>3220</v>
      </c>
      <c r="O672" s="13" t="s">
        <v>2396</v>
      </c>
      <c r="S672" s="9" t="s">
        <v>1732</v>
      </c>
      <c r="T672" s="12" t="s">
        <v>1732</v>
      </c>
      <c r="U672" s="5" t="s">
        <v>1732</v>
      </c>
    </row>
    <row r="673" spans="1:21" x14ac:dyDescent="0.2">
      <c r="A673" s="3">
        <v>672</v>
      </c>
      <c r="B673" s="5" t="s">
        <v>40</v>
      </c>
      <c r="C673" s="5" t="s">
        <v>1168</v>
      </c>
      <c r="I673" s="11" t="s">
        <v>750</v>
      </c>
      <c r="J673" s="19" t="s">
        <v>570</v>
      </c>
      <c r="N673" s="9" t="s">
        <v>3272</v>
      </c>
      <c r="O673" s="13" t="s">
        <v>1681</v>
      </c>
      <c r="T673" s="12" t="s">
        <v>1713</v>
      </c>
      <c r="U673" s="5" t="s">
        <v>1713</v>
      </c>
    </row>
    <row r="674" spans="1:21" x14ac:dyDescent="0.2">
      <c r="A674" s="3">
        <v>673</v>
      </c>
      <c r="B674" s="5" t="s">
        <v>41</v>
      </c>
      <c r="C674" s="5" t="s">
        <v>1168</v>
      </c>
      <c r="I674" s="11" t="s">
        <v>751</v>
      </c>
      <c r="J674" s="19" t="s">
        <v>571</v>
      </c>
      <c r="N674" s="9" t="s">
        <v>3273</v>
      </c>
      <c r="O674" s="13" t="s">
        <v>1692</v>
      </c>
      <c r="S674" s="9" t="s">
        <v>1746</v>
      </c>
      <c r="T674" s="12" t="s">
        <v>1746</v>
      </c>
      <c r="U674" s="5" t="s">
        <v>1746</v>
      </c>
    </row>
    <row r="675" spans="1:21" x14ac:dyDescent="0.2">
      <c r="A675" s="3">
        <v>674</v>
      </c>
      <c r="B675" s="5" t="s">
        <v>46</v>
      </c>
      <c r="C675" s="5" t="s">
        <v>1201</v>
      </c>
      <c r="F675" s="4" t="s">
        <v>640</v>
      </c>
      <c r="J675" s="19" t="s">
        <v>576</v>
      </c>
      <c r="L675" s="21" t="s">
        <v>2588</v>
      </c>
      <c r="O675" s="13" t="s">
        <v>1681</v>
      </c>
      <c r="T675" s="12" t="s">
        <v>1713</v>
      </c>
      <c r="U675" s="5" t="s">
        <v>1713</v>
      </c>
    </row>
    <row r="676" spans="1:21" x14ac:dyDescent="0.2">
      <c r="A676" s="3">
        <v>675</v>
      </c>
      <c r="B676" s="5" t="s">
        <v>47</v>
      </c>
      <c r="C676" s="5" t="s">
        <v>1201</v>
      </c>
      <c r="D676" s="5" t="s">
        <v>1270</v>
      </c>
      <c r="F676" s="4" t="s">
        <v>641</v>
      </c>
      <c r="J676" s="19" t="s">
        <v>577</v>
      </c>
      <c r="L676" s="21" t="s">
        <v>2589</v>
      </c>
      <c r="O676" s="13" t="s">
        <v>1804</v>
      </c>
      <c r="Q676" s="21" t="s">
        <v>1116</v>
      </c>
      <c r="T676" s="12" t="s">
        <v>1116</v>
      </c>
      <c r="U676" s="5" t="s">
        <v>1116</v>
      </c>
    </row>
    <row r="677" spans="1:21" x14ac:dyDescent="0.2">
      <c r="A677" s="3">
        <v>676</v>
      </c>
      <c r="B677" s="5" t="s">
        <v>157</v>
      </c>
      <c r="C677" s="5" t="s">
        <v>1174</v>
      </c>
      <c r="J677" s="19" t="s">
        <v>687</v>
      </c>
      <c r="O677" s="12" t="s">
        <v>1801</v>
      </c>
      <c r="T677" s="12" t="s">
        <v>1713</v>
      </c>
      <c r="U677" s="5" t="s">
        <v>1713</v>
      </c>
    </row>
    <row r="678" spans="1:21" x14ac:dyDescent="0.2">
      <c r="A678" s="3">
        <v>677</v>
      </c>
      <c r="B678" s="5" t="s">
        <v>42</v>
      </c>
      <c r="C678" s="5" t="s">
        <v>1206</v>
      </c>
      <c r="F678" s="4" t="s">
        <v>737</v>
      </c>
      <c r="J678" s="19" t="s">
        <v>572</v>
      </c>
      <c r="L678" s="21" t="s">
        <v>2643</v>
      </c>
      <c r="O678" s="13" t="s">
        <v>1703</v>
      </c>
      <c r="T678" s="12" t="s">
        <v>1713</v>
      </c>
      <c r="U678" s="5" t="s">
        <v>1713</v>
      </c>
    </row>
    <row r="679" spans="1:21" x14ac:dyDescent="0.2">
      <c r="A679" s="3">
        <v>678</v>
      </c>
      <c r="B679" s="5" t="s">
        <v>43</v>
      </c>
      <c r="C679" s="5" t="s">
        <v>1206</v>
      </c>
      <c r="F679" s="4" t="s">
        <v>738</v>
      </c>
      <c r="J679" s="19" t="s">
        <v>573</v>
      </c>
      <c r="L679" s="21" t="s">
        <v>2644</v>
      </c>
      <c r="O679" s="13" t="s">
        <v>1804</v>
      </c>
      <c r="Q679" s="21" t="s">
        <v>1044</v>
      </c>
      <c r="T679" s="12" t="s">
        <v>1044</v>
      </c>
      <c r="U679" s="5" t="s">
        <v>1044</v>
      </c>
    </row>
    <row r="680" spans="1:21" x14ac:dyDescent="0.2">
      <c r="A680" s="3">
        <v>679</v>
      </c>
      <c r="B680" s="5" t="s">
        <v>70</v>
      </c>
      <c r="C680" s="5" t="s">
        <v>1214</v>
      </c>
      <c r="D680" s="5" t="s">
        <v>1223</v>
      </c>
      <c r="F680" s="4" t="s">
        <v>859</v>
      </c>
      <c r="J680" s="19" t="s">
        <v>600</v>
      </c>
      <c r="L680" s="21" t="s">
        <v>2698</v>
      </c>
      <c r="O680" s="13" t="s">
        <v>2410</v>
      </c>
      <c r="T680" s="12" t="s">
        <v>1713</v>
      </c>
      <c r="U680" s="5" t="s">
        <v>1713</v>
      </c>
    </row>
    <row r="681" spans="1:21" x14ac:dyDescent="0.2">
      <c r="A681" s="3">
        <v>680</v>
      </c>
      <c r="B681" s="5" t="s">
        <v>71</v>
      </c>
      <c r="C681" s="5" t="s">
        <v>1214</v>
      </c>
      <c r="D681" s="5" t="s">
        <v>1223</v>
      </c>
      <c r="F681" s="4" t="s">
        <v>860</v>
      </c>
      <c r="J681" s="19" t="s">
        <v>601</v>
      </c>
      <c r="L681" s="21" t="s">
        <v>2620</v>
      </c>
      <c r="O681" s="13" t="s">
        <v>1699</v>
      </c>
      <c r="Q681" s="21" t="s">
        <v>1093</v>
      </c>
      <c r="T681" s="12" t="s">
        <v>1093</v>
      </c>
      <c r="U681" s="5" t="s">
        <v>1093</v>
      </c>
    </row>
    <row r="682" spans="1:21" x14ac:dyDescent="0.2">
      <c r="A682" s="3">
        <v>681</v>
      </c>
      <c r="B682" s="5" t="s">
        <v>72</v>
      </c>
      <c r="C682" s="5" t="s">
        <v>1214</v>
      </c>
      <c r="D682" s="5" t="s">
        <v>1223</v>
      </c>
      <c r="F682" s="4" t="s">
        <v>861</v>
      </c>
      <c r="J682" s="19" t="s">
        <v>602</v>
      </c>
      <c r="L682" s="21" t="s">
        <v>2699</v>
      </c>
      <c r="O682" s="13" t="s">
        <v>1804</v>
      </c>
      <c r="Q682" s="21" t="s">
        <v>1094</v>
      </c>
      <c r="T682" s="12" t="s">
        <v>1094</v>
      </c>
      <c r="U682" s="5" t="s">
        <v>1094</v>
      </c>
    </row>
    <row r="683" spans="1:21" x14ac:dyDescent="0.2">
      <c r="A683" s="3">
        <v>682</v>
      </c>
      <c r="B683" s="5" t="s">
        <v>95</v>
      </c>
      <c r="C683" s="5" t="s">
        <v>1189</v>
      </c>
      <c r="F683" s="4" t="s">
        <v>741</v>
      </c>
      <c r="J683" s="19" t="s">
        <v>625</v>
      </c>
      <c r="L683" s="21" t="s">
        <v>2646</v>
      </c>
      <c r="O683" s="12" t="s">
        <v>1706</v>
      </c>
      <c r="T683" s="12" t="s">
        <v>1713</v>
      </c>
      <c r="U683" s="5" t="s">
        <v>1713</v>
      </c>
    </row>
    <row r="684" spans="1:21" x14ac:dyDescent="0.2">
      <c r="A684" s="3">
        <v>683</v>
      </c>
      <c r="B684" s="5" t="s">
        <v>96</v>
      </c>
      <c r="C684" s="5" t="s">
        <v>1189</v>
      </c>
      <c r="F684" s="4" t="s">
        <v>742</v>
      </c>
      <c r="J684" s="19" t="s">
        <v>626</v>
      </c>
      <c r="L684" s="21" t="s">
        <v>1138</v>
      </c>
      <c r="O684" s="12" t="s">
        <v>1804</v>
      </c>
      <c r="Q684" s="21" t="s">
        <v>1046</v>
      </c>
      <c r="T684" s="12" t="s">
        <v>1046</v>
      </c>
      <c r="U684" s="5" t="s">
        <v>1046</v>
      </c>
    </row>
    <row r="685" spans="1:21" x14ac:dyDescent="0.2">
      <c r="A685" s="3">
        <v>684</v>
      </c>
      <c r="B685" s="5" t="s">
        <v>97</v>
      </c>
      <c r="C685" s="5" t="s">
        <v>1189</v>
      </c>
      <c r="F685" s="4" t="s">
        <v>739</v>
      </c>
      <c r="J685" s="19" t="s">
        <v>627</v>
      </c>
      <c r="L685" s="21" t="s">
        <v>2645</v>
      </c>
      <c r="O685" s="12" t="s">
        <v>1706</v>
      </c>
      <c r="T685" s="12" t="s">
        <v>1713</v>
      </c>
      <c r="U685" s="5" t="s">
        <v>1713</v>
      </c>
    </row>
    <row r="686" spans="1:21" x14ac:dyDescent="0.2">
      <c r="A686" s="3">
        <v>685</v>
      </c>
      <c r="B686" s="5" t="s">
        <v>98</v>
      </c>
      <c r="C686" s="5" t="s">
        <v>1189</v>
      </c>
      <c r="F686" s="4" t="s">
        <v>740</v>
      </c>
      <c r="J686" s="19" t="s">
        <v>628</v>
      </c>
      <c r="L686" s="21" t="s">
        <v>1138</v>
      </c>
      <c r="O686" s="12" t="s">
        <v>1804</v>
      </c>
      <c r="Q686" s="21" t="s">
        <v>1045</v>
      </c>
      <c r="T686" s="12" t="s">
        <v>1045</v>
      </c>
      <c r="U686" s="5" t="s">
        <v>1045</v>
      </c>
    </row>
    <row r="687" spans="1:21" x14ac:dyDescent="0.2">
      <c r="A687" s="3">
        <v>686</v>
      </c>
      <c r="B687" s="5" t="s">
        <v>158</v>
      </c>
      <c r="C687" s="5" t="s">
        <v>1270</v>
      </c>
      <c r="D687" s="5" t="s">
        <v>1206</v>
      </c>
      <c r="F687" s="4" t="s">
        <v>819</v>
      </c>
      <c r="J687" s="19" t="s">
        <v>688</v>
      </c>
      <c r="L687" s="21" t="s">
        <v>2655</v>
      </c>
      <c r="O687" s="12" t="s">
        <v>1690</v>
      </c>
      <c r="T687" s="12" t="s">
        <v>1713</v>
      </c>
      <c r="U687" s="5" t="s">
        <v>1713</v>
      </c>
    </row>
    <row r="688" spans="1:21" x14ac:dyDescent="0.2">
      <c r="A688" s="3">
        <v>687</v>
      </c>
      <c r="B688" s="5" t="s">
        <v>159</v>
      </c>
      <c r="C688" s="5" t="s">
        <v>1270</v>
      </c>
      <c r="D688" s="5" t="s">
        <v>1206</v>
      </c>
      <c r="F688" s="4" t="s">
        <v>820</v>
      </c>
      <c r="J688" s="19" t="s">
        <v>689</v>
      </c>
      <c r="L688" s="21" t="s">
        <v>3550</v>
      </c>
      <c r="O688" s="12" t="s">
        <v>1677</v>
      </c>
      <c r="Q688" s="21" t="s">
        <v>1141</v>
      </c>
      <c r="T688" s="12" t="s">
        <v>1141</v>
      </c>
      <c r="U688" s="5" t="s">
        <v>1141</v>
      </c>
    </row>
    <row r="689" spans="1:21" x14ac:dyDescent="0.2">
      <c r="A689" s="3">
        <v>688</v>
      </c>
      <c r="B689" s="5" t="s">
        <v>33</v>
      </c>
      <c r="C689" s="5" t="s">
        <v>1210</v>
      </c>
      <c r="D689" s="5" t="s">
        <v>1172</v>
      </c>
      <c r="F689" s="4" t="s">
        <v>763</v>
      </c>
      <c r="J689" s="19" t="s">
        <v>563</v>
      </c>
      <c r="L689" s="21" t="s">
        <v>2728</v>
      </c>
      <c r="O689" s="13" t="s">
        <v>1702</v>
      </c>
      <c r="T689" s="12" t="s">
        <v>1713</v>
      </c>
      <c r="U689" s="5" t="s">
        <v>1713</v>
      </c>
    </row>
    <row r="690" spans="1:21" x14ac:dyDescent="0.2">
      <c r="A690" s="3">
        <v>689</v>
      </c>
      <c r="B690" s="5" t="s">
        <v>34</v>
      </c>
      <c r="C690" s="5" t="s">
        <v>1210</v>
      </c>
      <c r="D690" s="5" t="s">
        <v>1172</v>
      </c>
      <c r="F690" s="4" t="s">
        <v>764</v>
      </c>
      <c r="J690" s="19" t="s">
        <v>564</v>
      </c>
      <c r="L690" s="21" t="s">
        <v>2659</v>
      </c>
      <c r="O690" s="13" t="s">
        <v>2405</v>
      </c>
      <c r="Q690" s="21" t="s">
        <v>1056</v>
      </c>
      <c r="T690" s="12" t="s">
        <v>1056</v>
      </c>
      <c r="U690" s="5" t="s">
        <v>1056</v>
      </c>
    </row>
    <row r="691" spans="1:21" x14ac:dyDescent="0.2">
      <c r="A691" s="3">
        <v>690</v>
      </c>
      <c r="B691" s="5" t="s">
        <v>160</v>
      </c>
      <c r="C691" s="5" t="s">
        <v>1169</v>
      </c>
      <c r="D691" s="5" t="s">
        <v>1172</v>
      </c>
      <c r="I691" s="11" t="s">
        <v>866</v>
      </c>
      <c r="J691" s="19" t="s">
        <v>690</v>
      </c>
      <c r="N691" s="9" t="s">
        <v>3344</v>
      </c>
      <c r="O691" s="12" t="s">
        <v>1691</v>
      </c>
      <c r="T691" s="12" t="s">
        <v>1713</v>
      </c>
      <c r="U691" s="5" t="s">
        <v>1713</v>
      </c>
    </row>
    <row r="692" spans="1:21" x14ac:dyDescent="0.2">
      <c r="A692" s="3">
        <v>691</v>
      </c>
      <c r="B692" s="5" t="s">
        <v>161</v>
      </c>
      <c r="C692" s="5" t="s">
        <v>1169</v>
      </c>
      <c r="D692" s="5" t="s">
        <v>1249</v>
      </c>
      <c r="I692" s="11" t="s">
        <v>867</v>
      </c>
      <c r="J692" s="19" t="s">
        <v>691</v>
      </c>
      <c r="N692" s="9" t="s">
        <v>3345</v>
      </c>
      <c r="O692" s="12" t="s">
        <v>1677</v>
      </c>
      <c r="S692" s="9" t="s">
        <v>1772</v>
      </c>
      <c r="T692" s="12" t="s">
        <v>1772</v>
      </c>
      <c r="U692" s="5" t="s">
        <v>1772</v>
      </c>
    </row>
    <row r="693" spans="1:21" x14ac:dyDescent="0.2">
      <c r="A693" s="3">
        <v>692</v>
      </c>
      <c r="B693" s="5" t="s">
        <v>162</v>
      </c>
      <c r="C693" s="5" t="s">
        <v>1172</v>
      </c>
      <c r="I693" s="11" t="s">
        <v>868</v>
      </c>
      <c r="J693" s="19" t="s">
        <v>692</v>
      </c>
      <c r="N693" s="9" t="s">
        <v>3346</v>
      </c>
      <c r="O693" s="12" t="s">
        <v>1690</v>
      </c>
      <c r="T693" s="12" t="s">
        <v>1713</v>
      </c>
      <c r="U693" s="5" t="s">
        <v>1713</v>
      </c>
    </row>
    <row r="694" spans="1:21" x14ac:dyDescent="0.2">
      <c r="A694" s="3">
        <v>693</v>
      </c>
      <c r="B694" s="5" t="s">
        <v>163</v>
      </c>
      <c r="C694" s="5" t="s">
        <v>1172</v>
      </c>
      <c r="I694" s="11" t="s">
        <v>869</v>
      </c>
      <c r="J694" s="19" t="s">
        <v>693</v>
      </c>
      <c r="N694" s="9" t="s">
        <v>3347</v>
      </c>
      <c r="O694" s="12" t="s">
        <v>1804</v>
      </c>
      <c r="S694" s="9" t="s">
        <v>1773</v>
      </c>
      <c r="T694" s="12" t="s">
        <v>1773</v>
      </c>
      <c r="U694" s="5" t="s">
        <v>1773</v>
      </c>
    </row>
    <row r="695" spans="1:21" x14ac:dyDescent="0.2">
      <c r="A695" s="3">
        <v>694</v>
      </c>
      <c r="B695" s="5" t="s">
        <v>201</v>
      </c>
      <c r="C695" s="5" t="s">
        <v>1179</v>
      </c>
      <c r="D695" s="5" t="s">
        <v>1174</v>
      </c>
      <c r="F695" s="4" t="s">
        <v>847</v>
      </c>
      <c r="J695" s="19" t="s">
        <v>731</v>
      </c>
      <c r="L695" s="21" t="s">
        <v>2695</v>
      </c>
      <c r="O695" s="12" t="s">
        <v>2404</v>
      </c>
      <c r="T695" s="12" t="s">
        <v>1713</v>
      </c>
      <c r="U695" s="5" t="s">
        <v>1713</v>
      </c>
    </row>
    <row r="696" spans="1:21" x14ac:dyDescent="0.2">
      <c r="A696" s="3">
        <v>695</v>
      </c>
      <c r="B696" s="5" t="s">
        <v>202</v>
      </c>
      <c r="C696" s="5" t="s">
        <v>1179</v>
      </c>
      <c r="D696" s="5" t="s">
        <v>1174</v>
      </c>
      <c r="F696" s="4" t="s">
        <v>848</v>
      </c>
      <c r="J696" s="19" t="s">
        <v>732</v>
      </c>
      <c r="L696" s="21" t="s">
        <v>3550</v>
      </c>
      <c r="O696" s="12" t="s">
        <v>1804</v>
      </c>
      <c r="Q696" s="21" t="s">
        <v>1087</v>
      </c>
      <c r="T696" s="12" t="s">
        <v>1087</v>
      </c>
      <c r="U696" s="5" t="s">
        <v>1087</v>
      </c>
    </row>
    <row r="697" spans="1:21" x14ac:dyDescent="0.2">
      <c r="A697" s="3">
        <v>696</v>
      </c>
      <c r="B697" s="5" t="s">
        <v>192</v>
      </c>
      <c r="C697" s="5" t="s">
        <v>1210</v>
      </c>
      <c r="D697" s="5" t="s">
        <v>1249</v>
      </c>
      <c r="J697" s="19" t="s">
        <v>722</v>
      </c>
      <c r="O697" s="12" t="s">
        <v>1807</v>
      </c>
      <c r="T697" s="12" t="s">
        <v>1713</v>
      </c>
      <c r="U697" s="5" t="s">
        <v>1713</v>
      </c>
    </row>
    <row r="698" spans="1:21" x14ac:dyDescent="0.2">
      <c r="A698" s="3">
        <v>697</v>
      </c>
      <c r="B698" s="5" t="s">
        <v>193</v>
      </c>
      <c r="C698" s="5" t="s">
        <v>1210</v>
      </c>
      <c r="D698" s="5" t="s">
        <v>1249</v>
      </c>
      <c r="J698" s="19" t="s">
        <v>723</v>
      </c>
      <c r="O698" s="12" t="s">
        <v>1804</v>
      </c>
      <c r="T698" s="12" t="s">
        <v>1775</v>
      </c>
      <c r="U698" s="5" t="s">
        <v>1775</v>
      </c>
    </row>
    <row r="699" spans="1:21" x14ac:dyDescent="0.2">
      <c r="A699" s="3">
        <v>698</v>
      </c>
      <c r="B699" s="5" t="s">
        <v>194</v>
      </c>
      <c r="C699" s="5" t="s">
        <v>1210</v>
      </c>
      <c r="D699" s="5" t="s">
        <v>1220</v>
      </c>
      <c r="J699" s="19" t="s">
        <v>724</v>
      </c>
      <c r="O699" s="12" t="s">
        <v>1808</v>
      </c>
      <c r="T699" s="12" t="s">
        <v>1713</v>
      </c>
      <c r="U699" s="5" t="s">
        <v>1713</v>
      </c>
    </row>
    <row r="700" spans="1:21" x14ac:dyDescent="0.2">
      <c r="A700" s="3">
        <v>699</v>
      </c>
      <c r="B700" s="5" t="s">
        <v>195</v>
      </c>
      <c r="C700" s="5" t="s">
        <v>1210</v>
      </c>
      <c r="D700" s="5" t="s">
        <v>1220</v>
      </c>
      <c r="J700" s="19" t="s">
        <v>725</v>
      </c>
      <c r="O700" s="12" t="s">
        <v>1804</v>
      </c>
      <c r="T700" s="12" t="s">
        <v>1776</v>
      </c>
      <c r="U700" s="5" t="s">
        <v>1776</v>
      </c>
    </row>
    <row r="701" spans="1:21" x14ac:dyDescent="0.2">
      <c r="A701" s="3">
        <v>700</v>
      </c>
      <c r="B701" s="5" t="s">
        <v>107</v>
      </c>
      <c r="C701" s="5" t="s">
        <v>1189</v>
      </c>
      <c r="F701" s="4" t="s">
        <v>733</v>
      </c>
      <c r="I701" s="11" t="s">
        <v>716</v>
      </c>
      <c r="J701" s="19" t="s">
        <v>637</v>
      </c>
      <c r="L701" s="21" t="s">
        <v>2641</v>
      </c>
      <c r="N701" s="9" t="s">
        <v>3246</v>
      </c>
      <c r="O701" s="12" t="s">
        <v>1804</v>
      </c>
      <c r="Q701" s="21" t="s">
        <v>1740</v>
      </c>
      <c r="S701" s="9" t="s">
        <v>1740</v>
      </c>
      <c r="T701" s="12" t="s">
        <v>1740</v>
      </c>
      <c r="U701" s="5" t="s">
        <v>1740</v>
      </c>
    </row>
    <row r="702" spans="1:21" x14ac:dyDescent="0.2">
      <c r="A702" s="3">
        <v>701</v>
      </c>
      <c r="B702" s="5" t="s">
        <v>180</v>
      </c>
      <c r="C702" s="5" t="s">
        <v>1201</v>
      </c>
      <c r="D702" s="5" t="s">
        <v>1171</v>
      </c>
      <c r="F702" s="4" t="s">
        <v>849</v>
      </c>
      <c r="I702" s="11" t="s">
        <v>830</v>
      </c>
      <c r="J702" s="19" t="s">
        <v>710</v>
      </c>
      <c r="L702" s="21" t="s">
        <v>2632</v>
      </c>
      <c r="N702" s="9" t="s">
        <v>3320</v>
      </c>
      <c r="O702" s="12" t="s">
        <v>1805</v>
      </c>
      <c r="T702" s="12" t="s">
        <v>1713</v>
      </c>
      <c r="U702" s="5" t="s">
        <v>1713</v>
      </c>
    </row>
    <row r="703" spans="1:21" x14ac:dyDescent="0.2">
      <c r="A703" s="3">
        <v>702</v>
      </c>
      <c r="B703" s="5" t="s">
        <v>50</v>
      </c>
      <c r="C703" s="5" t="s">
        <v>1179</v>
      </c>
      <c r="D703" s="5" t="s">
        <v>1189</v>
      </c>
      <c r="I703" s="11" t="s">
        <v>729</v>
      </c>
      <c r="J703" s="19" t="s">
        <v>580</v>
      </c>
      <c r="N703" s="9" t="s">
        <v>3258</v>
      </c>
      <c r="O703" s="13" t="s">
        <v>1794</v>
      </c>
      <c r="T703" s="12" t="s">
        <v>1713</v>
      </c>
      <c r="U703" s="5" t="s">
        <v>1713</v>
      </c>
    </row>
    <row r="704" spans="1:21" x14ac:dyDescent="0.2">
      <c r="A704" s="3">
        <v>703</v>
      </c>
      <c r="B704" s="5" t="s">
        <v>130</v>
      </c>
      <c r="C704" s="5" t="s">
        <v>1210</v>
      </c>
      <c r="D704" s="5" t="s">
        <v>1189</v>
      </c>
      <c r="J704" s="19" t="s">
        <v>660</v>
      </c>
      <c r="O704" s="12" t="s">
        <v>1688</v>
      </c>
      <c r="T704" s="12" t="s">
        <v>1713</v>
      </c>
      <c r="U704" s="5" t="s">
        <v>1713</v>
      </c>
    </row>
    <row r="705" spans="1:21" x14ac:dyDescent="0.2">
      <c r="A705" s="3">
        <v>704</v>
      </c>
      <c r="B705" s="5" t="s">
        <v>164</v>
      </c>
      <c r="C705" s="5" t="s">
        <v>1249</v>
      </c>
      <c r="F705" s="4" t="s">
        <v>918</v>
      </c>
      <c r="I705" s="11" t="s">
        <v>701</v>
      </c>
      <c r="J705" s="19" t="s">
        <v>694</v>
      </c>
      <c r="L705" s="21" t="s">
        <v>2771</v>
      </c>
      <c r="N705" s="9" t="s">
        <v>3236</v>
      </c>
      <c r="O705" s="12" t="s">
        <v>1802</v>
      </c>
      <c r="T705" s="12" t="s">
        <v>1713</v>
      </c>
      <c r="U705" s="5" t="s">
        <v>1713</v>
      </c>
    </row>
    <row r="706" spans="1:21" x14ac:dyDescent="0.2">
      <c r="A706" s="3">
        <v>705</v>
      </c>
      <c r="B706" s="5" t="s">
        <v>165</v>
      </c>
      <c r="C706" s="5" t="s">
        <v>1249</v>
      </c>
      <c r="F706" s="4" t="s">
        <v>919</v>
      </c>
      <c r="I706" s="11" t="s">
        <v>702</v>
      </c>
      <c r="J706" s="19" t="s">
        <v>695</v>
      </c>
      <c r="L706" s="21" t="s">
        <v>2772</v>
      </c>
      <c r="N706" s="9" t="s">
        <v>3238</v>
      </c>
      <c r="O706" s="12" t="s">
        <v>1803</v>
      </c>
      <c r="Q706" s="21" t="s">
        <v>1107</v>
      </c>
      <c r="S706" s="9" t="s">
        <v>1107</v>
      </c>
      <c r="T706" s="12" t="s">
        <v>1107</v>
      </c>
      <c r="U706" s="5" t="s">
        <v>1107</v>
      </c>
    </row>
    <row r="707" spans="1:21" x14ac:dyDescent="0.2">
      <c r="A707" s="3">
        <v>706</v>
      </c>
      <c r="B707" s="5" t="s">
        <v>166</v>
      </c>
      <c r="C707" s="5" t="s">
        <v>1249</v>
      </c>
      <c r="F707" s="4" t="s">
        <v>920</v>
      </c>
      <c r="I707" s="11" t="s">
        <v>703</v>
      </c>
      <c r="J707" s="19" t="s">
        <v>696</v>
      </c>
      <c r="L707" s="21" t="s">
        <v>3550</v>
      </c>
      <c r="N707" s="9" t="s">
        <v>3550</v>
      </c>
      <c r="O707" s="12" t="s">
        <v>1804</v>
      </c>
      <c r="Q707" s="21" t="s">
        <v>1158</v>
      </c>
      <c r="S707" s="9" t="s">
        <v>1774</v>
      </c>
      <c r="T707" s="12" t="s">
        <v>1774</v>
      </c>
      <c r="U707" s="5" t="s">
        <v>1158</v>
      </c>
    </row>
    <row r="708" spans="1:21" x14ac:dyDescent="0.2">
      <c r="A708" s="3">
        <v>707</v>
      </c>
      <c r="B708" s="5" t="s">
        <v>187</v>
      </c>
      <c r="C708" s="5" t="s">
        <v>1214</v>
      </c>
      <c r="D708" s="5" t="s">
        <v>1189</v>
      </c>
      <c r="I708" s="11" t="s">
        <v>769</v>
      </c>
      <c r="J708" s="19" t="s">
        <v>717</v>
      </c>
      <c r="N708" s="9" t="s">
        <v>3284</v>
      </c>
      <c r="O708" s="12" t="s">
        <v>2403</v>
      </c>
      <c r="T708" s="12" t="s">
        <v>1713</v>
      </c>
      <c r="U708" s="5" t="s">
        <v>1713</v>
      </c>
    </row>
    <row r="709" spans="1:21" x14ac:dyDescent="0.2">
      <c r="A709" s="3">
        <v>708</v>
      </c>
      <c r="B709" s="5" t="s">
        <v>181</v>
      </c>
      <c r="C709" s="5" t="s">
        <v>1223</v>
      </c>
      <c r="D709" s="5" t="s">
        <v>1168</v>
      </c>
      <c r="F709" s="4" t="s">
        <v>867</v>
      </c>
      <c r="J709" s="19" t="s">
        <v>711</v>
      </c>
      <c r="L709" s="21" t="s">
        <v>2751</v>
      </c>
      <c r="O709" s="12" t="s">
        <v>2412</v>
      </c>
      <c r="T709" s="12" t="s">
        <v>1713</v>
      </c>
      <c r="U709" s="5" t="s">
        <v>1713</v>
      </c>
    </row>
    <row r="710" spans="1:21" x14ac:dyDescent="0.2">
      <c r="A710" s="3">
        <v>709</v>
      </c>
      <c r="B710" s="5" t="s">
        <v>182</v>
      </c>
      <c r="C710" s="5" t="s">
        <v>1223</v>
      </c>
      <c r="D710" s="5" t="s">
        <v>1168</v>
      </c>
      <c r="F710" s="4" t="s">
        <v>868</v>
      </c>
      <c r="J710" s="19" t="s">
        <v>712</v>
      </c>
      <c r="L710" s="21" t="s">
        <v>3550</v>
      </c>
      <c r="O710" s="12" t="s">
        <v>1805</v>
      </c>
      <c r="Q710" s="21" t="s">
        <v>1096</v>
      </c>
      <c r="T710" s="12" t="s">
        <v>1096</v>
      </c>
      <c r="U710" s="5" t="s">
        <v>1096</v>
      </c>
    </row>
    <row r="711" spans="1:21" x14ac:dyDescent="0.2">
      <c r="A711" s="3">
        <v>710</v>
      </c>
      <c r="B711" s="5" t="s">
        <v>203</v>
      </c>
      <c r="C711" s="5" t="s">
        <v>1223</v>
      </c>
      <c r="D711" s="5" t="s">
        <v>1168</v>
      </c>
      <c r="F711" s="4" t="s">
        <v>720</v>
      </c>
      <c r="J711" s="19" t="s">
        <v>733</v>
      </c>
      <c r="L711" s="21" t="s">
        <v>2631</v>
      </c>
      <c r="O711" s="12" t="s">
        <v>1697</v>
      </c>
      <c r="T711" s="12" t="s">
        <v>1713</v>
      </c>
      <c r="U711" s="5" t="s">
        <v>1713</v>
      </c>
    </row>
    <row r="712" spans="1:21" x14ac:dyDescent="0.2">
      <c r="A712" s="3">
        <v>711</v>
      </c>
      <c r="B712" s="5" t="s">
        <v>204</v>
      </c>
      <c r="C712" s="5" t="s">
        <v>1223</v>
      </c>
      <c r="D712" s="5" t="s">
        <v>1168</v>
      </c>
      <c r="F712" s="4" t="s">
        <v>721</v>
      </c>
      <c r="J712" s="19" t="s">
        <v>734</v>
      </c>
      <c r="L712" s="21" t="s">
        <v>2632</v>
      </c>
      <c r="O712" s="12" t="s">
        <v>1804</v>
      </c>
      <c r="Q712" s="21" t="s">
        <v>1040</v>
      </c>
      <c r="T712" s="12" t="s">
        <v>1040</v>
      </c>
      <c r="U712" s="5" t="s">
        <v>1040</v>
      </c>
    </row>
    <row r="713" spans="1:21" x14ac:dyDescent="0.2">
      <c r="A713" s="3">
        <v>712</v>
      </c>
      <c r="B713" s="5" t="s">
        <v>173</v>
      </c>
      <c r="C713" s="5" t="s">
        <v>1220</v>
      </c>
      <c r="F713" s="4" t="s">
        <v>887</v>
      </c>
      <c r="I713" s="11" t="s">
        <v>892</v>
      </c>
      <c r="J713" s="19" t="s">
        <v>703</v>
      </c>
      <c r="L713" s="21" t="s">
        <v>2656</v>
      </c>
      <c r="N713" s="9" t="s">
        <v>3362</v>
      </c>
      <c r="O713" s="12" t="s">
        <v>1692</v>
      </c>
      <c r="T713" s="12" t="s">
        <v>1713</v>
      </c>
      <c r="U713" s="5" t="s">
        <v>1713</v>
      </c>
    </row>
    <row r="714" spans="1:21" x14ac:dyDescent="0.2">
      <c r="A714" s="3">
        <v>713</v>
      </c>
      <c r="B714" s="5" t="s">
        <v>174</v>
      </c>
      <c r="C714" s="5" t="s">
        <v>1220</v>
      </c>
      <c r="F714" s="4" t="s">
        <v>888</v>
      </c>
      <c r="I714" s="11" t="s">
        <v>893</v>
      </c>
      <c r="J714" s="19" t="s">
        <v>704</v>
      </c>
      <c r="L714" s="21" t="s">
        <v>2640</v>
      </c>
      <c r="N714" s="9" t="s">
        <v>3147</v>
      </c>
      <c r="O714" s="12" t="s">
        <v>1804</v>
      </c>
      <c r="Q714" s="21" t="s">
        <v>1099</v>
      </c>
      <c r="S714" s="9" t="s">
        <v>1099</v>
      </c>
      <c r="T714" s="12" t="s">
        <v>1099</v>
      </c>
      <c r="U714" s="5" t="s">
        <v>1099</v>
      </c>
    </row>
    <row r="715" spans="1:21" x14ac:dyDescent="0.2">
      <c r="A715" s="3">
        <v>714</v>
      </c>
      <c r="B715" s="5" t="s">
        <v>185</v>
      </c>
      <c r="C715" s="5" t="s">
        <v>1171</v>
      </c>
      <c r="D715" s="5" t="s">
        <v>1249</v>
      </c>
      <c r="F715" s="4" t="s">
        <v>705</v>
      </c>
      <c r="I715" s="11" t="s">
        <v>832</v>
      </c>
      <c r="J715" s="19" t="s">
        <v>715</v>
      </c>
      <c r="L715" s="21" t="s">
        <v>2528</v>
      </c>
      <c r="N715" s="9" t="s">
        <v>3322</v>
      </c>
      <c r="O715" s="12" t="s">
        <v>2413</v>
      </c>
      <c r="T715" s="12" t="s">
        <v>1713</v>
      </c>
      <c r="U715" s="5" t="s">
        <v>1713</v>
      </c>
    </row>
    <row r="716" spans="1:21" x14ac:dyDescent="0.2">
      <c r="A716" s="3">
        <v>715</v>
      </c>
      <c r="B716" s="5" t="s">
        <v>186</v>
      </c>
      <c r="C716" s="5" t="s">
        <v>1171</v>
      </c>
      <c r="D716" s="5" t="s">
        <v>1249</v>
      </c>
      <c r="F716" s="4" t="s">
        <v>706</v>
      </c>
      <c r="I716" s="11" t="s">
        <v>833</v>
      </c>
      <c r="J716" s="19" t="s">
        <v>716</v>
      </c>
      <c r="L716" s="21" t="s">
        <v>2625</v>
      </c>
      <c r="N716" s="9" t="s">
        <v>3323</v>
      </c>
      <c r="O716" s="12" t="s">
        <v>2413</v>
      </c>
      <c r="Q716" s="21" t="s">
        <v>1034</v>
      </c>
      <c r="S716" s="9" t="s">
        <v>1034</v>
      </c>
      <c r="T716" s="12" t="s">
        <v>1034</v>
      </c>
      <c r="U716" s="5" t="s">
        <v>1034</v>
      </c>
    </row>
    <row r="717" spans="1:21" x14ac:dyDescent="0.2">
      <c r="A717" s="3">
        <v>716</v>
      </c>
      <c r="B717" s="5" t="s">
        <v>227</v>
      </c>
      <c r="C717" s="5" t="s">
        <v>1189</v>
      </c>
      <c r="J717" s="19" t="s">
        <v>757</v>
      </c>
      <c r="O717" s="12" t="s">
        <v>1809</v>
      </c>
      <c r="U717" s="5" t="s">
        <v>1713</v>
      </c>
    </row>
    <row r="718" spans="1:21" x14ac:dyDescent="0.2">
      <c r="A718" s="3">
        <v>717</v>
      </c>
      <c r="B718" s="5" t="s">
        <v>228</v>
      </c>
      <c r="C718" s="5" t="s">
        <v>1270</v>
      </c>
      <c r="D718" s="5" t="s">
        <v>1171</v>
      </c>
      <c r="J718" s="19" t="s">
        <v>758</v>
      </c>
      <c r="O718" s="12" t="s">
        <v>1810</v>
      </c>
      <c r="U718" s="5" t="s">
        <v>1713</v>
      </c>
    </row>
    <row r="719" spans="1:21" x14ac:dyDescent="0.2">
      <c r="A719" s="3">
        <v>718</v>
      </c>
      <c r="B719" s="5" t="s">
        <v>229</v>
      </c>
      <c r="C719" s="5" t="s">
        <v>1249</v>
      </c>
      <c r="D719" s="5" t="s">
        <v>1181</v>
      </c>
      <c r="J719" s="19" t="s">
        <v>759</v>
      </c>
      <c r="O719" s="12" t="s">
        <v>1811</v>
      </c>
      <c r="U719" s="5" t="s">
        <v>1713</v>
      </c>
    </row>
    <row r="720" spans="1:21" x14ac:dyDescent="0.2">
      <c r="A720" s="3">
        <v>719</v>
      </c>
      <c r="B720" s="5" t="s">
        <v>230</v>
      </c>
      <c r="C720" s="5" t="s">
        <v>1210</v>
      </c>
      <c r="D720" s="5" t="s">
        <v>1189</v>
      </c>
      <c r="J720" s="19" t="s">
        <v>760</v>
      </c>
      <c r="O720" s="12" t="s">
        <v>1812</v>
      </c>
      <c r="U720" s="5" t="s">
        <v>1713</v>
      </c>
    </row>
    <row r="721" spans="1:21" x14ac:dyDescent="0.2">
      <c r="A721" s="3">
        <v>720</v>
      </c>
      <c r="B721" s="5" t="s">
        <v>1488</v>
      </c>
      <c r="C721" s="5" t="s">
        <v>1206</v>
      </c>
      <c r="D721" s="5" t="s">
        <v>1223</v>
      </c>
      <c r="U721" s="5" t="s">
        <v>1713</v>
      </c>
    </row>
    <row r="722" spans="1:21" x14ac:dyDescent="0.2">
      <c r="A722" s="3">
        <v>721</v>
      </c>
      <c r="B722" s="5" t="s">
        <v>1489</v>
      </c>
      <c r="C722" s="5" t="s">
        <v>1170</v>
      </c>
      <c r="D722" s="5" t="s">
        <v>1172</v>
      </c>
      <c r="U722" s="5" t="s">
        <v>1713</v>
      </c>
    </row>
    <row r="723" spans="1:21" x14ac:dyDescent="0.2">
      <c r="A723" s="3">
        <v>722</v>
      </c>
      <c r="B723" s="5" t="s">
        <v>1490</v>
      </c>
      <c r="C723" s="5" t="s">
        <v>1168</v>
      </c>
      <c r="D723" s="5" t="s">
        <v>1171</v>
      </c>
      <c r="U723" s="5" t="s">
        <v>1713</v>
      </c>
    </row>
    <row r="724" spans="1:21" x14ac:dyDescent="0.2">
      <c r="A724" s="3">
        <v>723</v>
      </c>
      <c r="B724" s="5" t="s">
        <v>1491</v>
      </c>
      <c r="C724" s="5" t="s">
        <v>1168</v>
      </c>
      <c r="D724" s="5" t="s">
        <v>1171</v>
      </c>
      <c r="U724" s="5" t="s">
        <v>1713</v>
      </c>
    </row>
    <row r="725" spans="1:21" x14ac:dyDescent="0.2">
      <c r="A725" s="3">
        <v>724</v>
      </c>
      <c r="B725" s="5" t="s">
        <v>1492</v>
      </c>
      <c r="C725" s="5" t="s">
        <v>1168</v>
      </c>
      <c r="D725" s="5" t="s">
        <v>1223</v>
      </c>
      <c r="U725" s="5" t="s">
        <v>1713</v>
      </c>
    </row>
    <row r="726" spans="1:21" x14ac:dyDescent="0.2">
      <c r="A726" s="3">
        <v>725</v>
      </c>
      <c r="B726" s="5" t="s">
        <v>1493</v>
      </c>
      <c r="C726" s="5" t="s">
        <v>1170</v>
      </c>
      <c r="U726" s="5" t="s">
        <v>1713</v>
      </c>
    </row>
    <row r="727" spans="1:21" x14ac:dyDescent="0.2">
      <c r="A727" s="3">
        <v>726</v>
      </c>
      <c r="B727" s="5" t="s">
        <v>1494</v>
      </c>
      <c r="C727" s="5" t="s">
        <v>1170</v>
      </c>
      <c r="U727" s="5" t="s">
        <v>1713</v>
      </c>
    </row>
    <row r="728" spans="1:21" x14ac:dyDescent="0.2">
      <c r="A728" s="3">
        <v>727</v>
      </c>
      <c r="B728" s="5" t="s">
        <v>1495</v>
      </c>
      <c r="C728" s="5" t="s">
        <v>1170</v>
      </c>
      <c r="D728" s="5" t="s">
        <v>1270</v>
      </c>
      <c r="U728" s="5" t="s">
        <v>1713</v>
      </c>
    </row>
    <row r="729" spans="1:21" x14ac:dyDescent="0.2">
      <c r="A729" s="3">
        <v>728</v>
      </c>
      <c r="B729" s="5" t="s">
        <v>1496</v>
      </c>
      <c r="C729" s="5" t="s">
        <v>1172</v>
      </c>
      <c r="U729" s="5" t="s">
        <v>1713</v>
      </c>
    </row>
    <row r="730" spans="1:21" x14ac:dyDescent="0.2">
      <c r="A730" s="3">
        <v>729</v>
      </c>
      <c r="B730" s="5" t="s">
        <v>1497</v>
      </c>
      <c r="C730" s="5" t="s">
        <v>1172</v>
      </c>
      <c r="U730" s="5" t="s">
        <v>1713</v>
      </c>
    </row>
    <row r="731" spans="1:21" x14ac:dyDescent="0.2">
      <c r="A731" s="3">
        <v>730</v>
      </c>
      <c r="B731" s="5" t="s">
        <v>1498</v>
      </c>
      <c r="C731" s="5" t="s">
        <v>1172</v>
      </c>
      <c r="D731" s="5" t="s">
        <v>1189</v>
      </c>
      <c r="U731" s="5" t="s">
        <v>1713</v>
      </c>
    </row>
    <row r="732" spans="1:21" x14ac:dyDescent="0.2">
      <c r="A732" s="3">
        <v>731</v>
      </c>
      <c r="B732" s="5" t="s">
        <v>1499</v>
      </c>
      <c r="C732" s="5" t="s">
        <v>1174</v>
      </c>
      <c r="D732" s="5" t="s">
        <v>1171</v>
      </c>
      <c r="U732" s="5" t="s">
        <v>1713</v>
      </c>
    </row>
    <row r="733" spans="1:21" x14ac:dyDescent="0.2">
      <c r="A733" s="3">
        <v>732</v>
      </c>
      <c r="B733" s="5" t="s">
        <v>1500</v>
      </c>
      <c r="C733" s="5" t="s">
        <v>1174</v>
      </c>
      <c r="D733" s="5" t="s">
        <v>1171</v>
      </c>
      <c r="U733" s="5" t="s">
        <v>1713</v>
      </c>
    </row>
    <row r="734" spans="1:21" x14ac:dyDescent="0.2">
      <c r="A734" s="3">
        <v>733</v>
      </c>
      <c r="B734" s="5" t="s">
        <v>1501</v>
      </c>
      <c r="C734" s="5" t="s">
        <v>1174</v>
      </c>
      <c r="D734" s="5" t="s">
        <v>1171</v>
      </c>
      <c r="U734" s="5" t="s">
        <v>1713</v>
      </c>
    </row>
    <row r="735" spans="1:21" x14ac:dyDescent="0.2">
      <c r="A735" s="3">
        <v>734</v>
      </c>
      <c r="B735" s="5" t="s">
        <v>1502</v>
      </c>
      <c r="C735" s="5" t="s">
        <v>1174</v>
      </c>
      <c r="I735" s="11" t="s">
        <v>556</v>
      </c>
      <c r="N735" s="9" t="s">
        <v>3120</v>
      </c>
      <c r="U735" s="5" t="s">
        <v>1713</v>
      </c>
    </row>
    <row r="736" spans="1:21" x14ac:dyDescent="0.2">
      <c r="A736" s="3">
        <v>735</v>
      </c>
      <c r="B736" s="5" t="s">
        <v>1503</v>
      </c>
      <c r="C736" s="5" t="s">
        <v>1174</v>
      </c>
      <c r="I736" s="11" t="s">
        <v>557</v>
      </c>
      <c r="N736" s="9" t="s">
        <v>3121</v>
      </c>
      <c r="S736" s="9" t="s">
        <v>3037</v>
      </c>
      <c r="U736" s="5" t="s">
        <v>3037</v>
      </c>
    </row>
    <row r="737" spans="1:21" x14ac:dyDescent="0.2">
      <c r="A737" s="3">
        <v>736</v>
      </c>
      <c r="B737" s="5" t="s">
        <v>247</v>
      </c>
      <c r="C737" s="5" t="s">
        <v>1173</v>
      </c>
      <c r="F737" s="4" t="s">
        <v>545</v>
      </c>
      <c r="L737" s="21" t="s">
        <v>2512</v>
      </c>
      <c r="U737" s="5" t="s">
        <v>1713</v>
      </c>
    </row>
    <row r="738" spans="1:21" x14ac:dyDescent="0.2">
      <c r="A738" s="3">
        <v>737</v>
      </c>
      <c r="B738" s="5" t="s">
        <v>248</v>
      </c>
      <c r="C738" s="5" t="s">
        <v>1173</v>
      </c>
      <c r="D738" s="5" t="s">
        <v>1179</v>
      </c>
      <c r="F738" s="4" t="s">
        <v>546</v>
      </c>
      <c r="L738" s="21" t="s">
        <v>2515</v>
      </c>
      <c r="Q738" s="21" t="s">
        <v>956</v>
      </c>
      <c r="U738" s="5" t="s">
        <v>956</v>
      </c>
    </row>
    <row r="739" spans="1:21" x14ac:dyDescent="0.2">
      <c r="A739" s="3">
        <v>738</v>
      </c>
      <c r="B739" s="5" t="s">
        <v>249</v>
      </c>
      <c r="C739" s="5" t="s">
        <v>1173</v>
      </c>
      <c r="D739" s="5" t="s">
        <v>1179</v>
      </c>
      <c r="F739" s="4" t="s">
        <v>547</v>
      </c>
      <c r="L739" s="21" t="s">
        <v>2516</v>
      </c>
      <c r="Q739" s="21" t="s">
        <v>957</v>
      </c>
      <c r="U739" s="5" t="s">
        <v>957</v>
      </c>
    </row>
    <row r="740" spans="1:21" x14ac:dyDescent="0.2">
      <c r="A740" s="3">
        <v>739</v>
      </c>
      <c r="B740" s="5" t="s">
        <v>1504</v>
      </c>
      <c r="C740" s="5" t="s">
        <v>1201</v>
      </c>
      <c r="I740" s="11" t="s">
        <v>647</v>
      </c>
      <c r="N740" s="9" t="s">
        <v>3194</v>
      </c>
      <c r="U740" s="5" t="s">
        <v>1713</v>
      </c>
    </row>
    <row r="741" spans="1:21" x14ac:dyDescent="0.2">
      <c r="A741" s="3">
        <v>740</v>
      </c>
      <c r="B741" s="5" t="s">
        <v>1505</v>
      </c>
      <c r="C741" s="5" t="s">
        <v>1201</v>
      </c>
      <c r="D741" s="5" t="s">
        <v>1220</v>
      </c>
      <c r="I741" s="11" t="s">
        <v>648</v>
      </c>
      <c r="N741" s="9" t="s">
        <v>3195</v>
      </c>
      <c r="S741" s="9" t="s">
        <v>3066</v>
      </c>
      <c r="U741" s="5" t="s">
        <v>3066</v>
      </c>
    </row>
    <row r="742" spans="1:21" x14ac:dyDescent="0.2">
      <c r="A742" s="3">
        <v>741</v>
      </c>
      <c r="B742" s="5" t="s">
        <v>1506</v>
      </c>
      <c r="C742" s="5" t="s">
        <v>1170</v>
      </c>
      <c r="D742" s="5" t="s">
        <v>1171</v>
      </c>
      <c r="I742" s="24" t="s">
        <v>629</v>
      </c>
      <c r="N742" s="9" t="s">
        <v>3179</v>
      </c>
      <c r="U742" s="5" t="s">
        <v>1713</v>
      </c>
    </row>
    <row r="743" spans="1:21" x14ac:dyDescent="0.2">
      <c r="A743" s="3">
        <v>742</v>
      </c>
      <c r="B743" s="5" t="s">
        <v>383</v>
      </c>
      <c r="C743" s="5" t="s">
        <v>1173</v>
      </c>
      <c r="D743" s="5" t="s">
        <v>1189</v>
      </c>
      <c r="F743" s="4" t="s">
        <v>716</v>
      </c>
      <c r="L743" s="21" t="s">
        <v>2629</v>
      </c>
      <c r="U743" s="5" t="s">
        <v>1713</v>
      </c>
    </row>
    <row r="744" spans="1:21" x14ac:dyDescent="0.2">
      <c r="A744" s="3">
        <v>743</v>
      </c>
      <c r="B744" s="5" t="s">
        <v>384</v>
      </c>
      <c r="C744" s="5" t="s">
        <v>1173</v>
      </c>
      <c r="D744" s="5" t="s">
        <v>1189</v>
      </c>
      <c r="F744" s="4" t="s">
        <v>717</v>
      </c>
      <c r="L744" s="21" t="s">
        <v>2630</v>
      </c>
      <c r="Q744" s="21" t="s">
        <v>1038</v>
      </c>
      <c r="U744" s="5" t="s">
        <v>1038</v>
      </c>
    </row>
    <row r="745" spans="1:21" x14ac:dyDescent="0.2">
      <c r="A745" s="3">
        <v>744</v>
      </c>
      <c r="B745" s="5" t="s">
        <v>1507</v>
      </c>
      <c r="C745" s="5" t="s">
        <v>1210</v>
      </c>
      <c r="I745" s="11" t="s">
        <v>618</v>
      </c>
      <c r="N745" s="9" t="s">
        <v>3170</v>
      </c>
      <c r="U745" s="5" t="s">
        <v>1713</v>
      </c>
    </row>
    <row r="746" spans="1:21" x14ac:dyDescent="0.2">
      <c r="A746" s="3">
        <v>745</v>
      </c>
      <c r="B746" s="5" t="s">
        <v>1508</v>
      </c>
      <c r="C746" s="5" t="s">
        <v>1210</v>
      </c>
      <c r="I746" s="24" t="s">
        <v>619</v>
      </c>
      <c r="N746" s="9" t="s">
        <v>3171</v>
      </c>
      <c r="S746" s="9" t="s">
        <v>3022</v>
      </c>
      <c r="U746" s="5" t="s">
        <v>3022</v>
      </c>
    </row>
    <row r="747" spans="1:21" x14ac:dyDescent="0.2">
      <c r="A747" s="3">
        <v>746</v>
      </c>
      <c r="B747" s="5" t="s">
        <v>358</v>
      </c>
      <c r="C747" s="5" t="s">
        <v>1172</v>
      </c>
      <c r="F747" s="4" t="s">
        <v>684</v>
      </c>
      <c r="L747" s="21" t="s">
        <v>1118</v>
      </c>
      <c r="U747" s="5" t="s">
        <v>1713</v>
      </c>
    </row>
    <row r="748" spans="1:21" x14ac:dyDescent="0.2">
      <c r="A748" s="3">
        <v>747</v>
      </c>
      <c r="B748" s="5" t="s">
        <v>465</v>
      </c>
      <c r="C748" s="5" t="s">
        <v>1169</v>
      </c>
      <c r="D748" s="5" t="s">
        <v>1172</v>
      </c>
      <c r="F748" s="4" t="s">
        <v>836</v>
      </c>
      <c r="I748" s="11" t="s">
        <v>873</v>
      </c>
      <c r="L748" s="21" t="s">
        <v>2656</v>
      </c>
      <c r="N748" s="9" t="s">
        <v>3350</v>
      </c>
      <c r="U748" s="5" t="s">
        <v>1713</v>
      </c>
    </row>
    <row r="749" spans="1:21" x14ac:dyDescent="0.2">
      <c r="A749" s="3">
        <v>748</v>
      </c>
      <c r="B749" s="5" t="s">
        <v>466</v>
      </c>
      <c r="C749" s="5" t="s">
        <v>1169</v>
      </c>
      <c r="D749" s="5" t="s">
        <v>1172</v>
      </c>
      <c r="F749" s="4" t="s">
        <v>837</v>
      </c>
      <c r="I749" s="11" t="s">
        <v>874</v>
      </c>
      <c r="L749" s="21" t="s">
        <v>2656</v>
      </c>
      <c r="N749" s="9" t="s">
        <v>3351</v>
      </c>
      <c r="Q749" s="21" t="s">
        <v>1083</v>
      </c>
      <c r="S749" s="9" t="s">
        <v>1083</v>
      </c>
      <c r="U749" s="5" t="s">
        <v>1083</v>
      </c>
    </row>
    <row r="750" spans="1:21" x14ac:dyDescent="0.2">
      <c r="A750" s="3">
        <v>749</v>
      </c>
      <c r="B750" s="5" t="s">
        <v>301</v>
      </c>
      <c r="C750" s="5" t="s">
        <v>1181</v>
      </c>
      <c r="F750" s="4" t="s">
        <v>613</v>
      </c>
      <c r="I750" s="11" t="s">
        <v>801</v>
      </c>
      <c r="L750" s="21" t="s">
        <v>2569</v>
      </c>
      <c r="N750" s="9" t="s">
        <v>3170</v>
      </c>
      <c r="U750" s="5" t="s">
        <v>1713</v>
      </c>
    </row>
    <row r="751" spans="1:21" x14ac:dyDescent="0.2">
      <c r="A751" s="3">
        <v>750</v>
      </c>
      <c r="B751" s="5" t="s">
        <v>302</v>
      </c>
      <c r="C751" s="5" t="s">
        <v>1181</v>
      </c>
      <c r="F751" s="4" t="s">
        <v>614</v>
      </c>
      <c r="I751" s="11" t="s">
        <v>802</v>
      </c>
      <c r="L751" s="21" t="s">
        <v>2570</v>
      </c>
      <c r="N751" s="9" t="s">
        <v>3300</v>
      </c>
      <c r="Q751" s="21" t="s">
        <v>991</v>
      </c>
      <c r="S751" s="9" t="s">
        <v>991</v>
      </c>
      <c r="U751" s="5" t="s">
        <v>991</v>
      </c>
    </row>
    <row r="752" spans="1:21" x14ac:dyDescent="0.2">
      <c r="A752" s="3">
        <v>751</v>
      </c>
      <c r="B752" s="5" t="s">
        <v>390</v>
      </c>
      <c r="C752" s="5" t="s">
        <v>1172</v>
      </c>
      <c r="D752" s="5" t="s">
        <v>1173</v>
      </c>
      <c r="F752" s="4" t="s">
        <v>743</v>
      </c>
      <c r="L752" s="21" t="s">
        <v>2647</v>
      </c>
      <c r="U752" s="5" t="s">
        <v>1713</v>
      </c>
    </row>
    <row r="753" spans="1:21" x14ac:dyDescent="0.2">
      <c r="A753" s="3">
        <v>752</v>
      </c>
      <c r="B753" s="5" t="s">
        <v>391</v>
      </c>
      <c r="C753" s="5" t="s">
        <v>1172</v>
      </c>
      <c r="D753" s="5" t="s">
        <v>1173</v>
      </c>
      <c r="F753" s="4" t="s">
        <v>744</v>
      </c>
      <c r="L753" s="21" t="s">
        <v>2648</v>
      </c>
      <c r="Q753" s="21" t="s">
        <v>1047</v>
      </c>
      <c r="U753" s="5" t="s">
        <v>1047</v>
      </c>
    </row>
    <row r="754" spans="1:21" x14ac:dyDescent="0.2">
      <c r="A754" s="3">
        <v>753</v>
      </c>
      <c r="B754" s="5" t="s">
        <v>1509</v>
      </c>
      <c r="C754" s="5" t="s">
        <v>1168</v>
      </c>
      <c r="I754" s="11" t="s">
        <v>776</v>
      </c>
      <c r="N754" s="9" t="s">
        <v>3219</v>
      </c>
      <c r="U754" s="5" t="s">
        <v>1713</v>
      </c>
    </row>
    <row r="755" spans="1:21" x14ac:dyDescent="0.2">
      <c r="A755" s="3">
        <v>754</v>
      </c>
      <c r="B755" s="5" t="s">
        <v>1510</v>
      </c>
      <c r="C755" s="5" t="s">
        <v>1168</v>
      </c>
      <c r="I755" s="11" t="s">
        <v>777</v>
      </c>
      <c r="N755" s="9" t="s">
        <v>3219</v>
      </c>
      <c r="S755" s="9" t="s">
        <v>3080</v>
      </c>
      <c r="U755" s="5" t="s">
        <v>3080</v>
      </c>
    </row>
    <row r="756" spans="1:21" x14ac:dyDescent="0.2">
      <c r="A756" s="3">
        <v>755</v>
      </c>
      <c r="B756" s="5" t="s">
        <v>488</v>
      </c>
      <c r="C756" s="5" t="s">
        <v>1168</v>
      </c>
      <c r="D756" s="5" t="s">
        <v>1189</v>
      </c>
      <c r="F756" s="4" t="s">
        <v>869</v>
      </c>
      <c r="L756" s="21" t="s">
        <v>2698</v>
      </c>
      <c r="U756" s="5" t="s">
        <v>1713</v>
      </c>
    </row>
    <row r="757" spans="1:21" x14ac:dyDescent="0.2">
      <c r="A757" s="3">
        <v>756</v>
      </c>
      <c r="B757" s="5" t="s">
        <v>489</v>
      </c>
      <c r="C757" s="5" t="s">
        <v>1168</v>
      </c>
      <c r="D757" s="5" t="s">
        <v>1189</v>
      </c>
      <c r="F757" s="4" t="s">
        <v>870</v>
      </c>
      <c r="L757" s="21" t="s">
        <v>2700</v>
      </c>
      <c r="Q757" s="21" t="s">
        <v>1097</v>
      </c>
      <c r="U757" s="5" t="s">
        <v>1097</v>
      </c>
    </row>
    <row r="758" spans="1:21" x14ac:dyDescent="0.2">
      <c r="A758" s="3">
        <v>757</v>
      </c>
      <c r="B758" s="5" t="s">
        <v>414</v>
      </c>
      <c r="C758" s="5" t="s">
        <v>1169</v>
      </c>
      <c r="D758" s="5" t="s">
        <v>1170</v>
      </c>
      <c r="F758" s="4" t="s">
        <v>773</v>
      </c>
      <c r="I758" s="11" t="s">
        <v>649</v>
      </c>
      <c r="L758" s="21" t="s">
        <v>2663</v>
      </c>
      <c r="N758" s="9" t="s">
        <v>3196</v>
      </c>
      <c r="U758" s="5" t="s">
        <v>1713</v>
      </c>
    </row>
    <row r="759" spans="1:21" x14ac:dyDescent="0.2">
      <c r="A759" s="3">
        <v>758</v>
      </c>
      <c r="B759" s="5" t="s">
        <v>415</v>
      </c>
      <c r="C759" s="5" t="s">
        <v>1169</v>
      </c>
      <c r="D759" s="5" t="s">
        <v>1170</v>
      </c>
      <c r="F759" s="4" t="s">
        <v>774</v>
      </c>
      <c r="I759" s="11" t="s">
        <v>650</v>
      </c>
      <c r="L759" s="21" t="s">
        <v>3550</v>
      </c>
      <c r="N759" s="9" t="s">
        <v>3197</v>
      </c>
      <c r="Q759" s="21" t="s">
        <v>1134</v>
      </c>
      <c r="S759" s="9" t="s">
        <v>1134</v>
      </c>
      <c r="U759" s="5" t="s">
        <v>1134</v>
      </c>
    </row>
    <row r="760" spans="1:21" x14ac:dyDescent="0.2">
      <c r="A760" s="3">
        <v>759</v>
      </c>
      <c r="B760" s="5" t="s">
        <v>311</v>
      </c>
      <c r="C760" s="5" t="s">
        <v>1174</v>
      </c>
      <c r="D760" s="5" t="s">
        <v>1201</v>
      </c>
      <c r="F760" s="4" t="s">
        <v>623</v>
      </c>
      <c r="L760" s="21" t="s">
        <v>2577</v>
      </c>
      <c r="U760" s="5" t="s">
        <v>1713</v>
      </c>
    </row>
    <row r="761" spans="1:21" x14ac:dyDescent="0.2">
      <c r="A761" s="3">
        <v>760</v>
      </c>
      <c r="B761" s="5" t="s">
        <v>312</v>
      </c>
      <c r="C761" s="5" t="s">
        <v>1174</v>
      </c>
      <c r="D761" s="5" t="s">
        <v>1201</v>
      </c>
      <c r="F761" s="4" t="s">
        <v>624</v>
      </c>
      <c r="L761" s="21" t="s">
        <v>2578</v>
      </c>
      <c r="Q761" s="21" t="s">
        <v>996</v>
      </c>
      <c r="U761" s="5" t="s">
        <v>996</v>
      </c>
    </row>
    <row r="762" spans="1:21" x14ac:dyDescent="0.2">
      <c r="A762" s="3">
        <v>761</v>
      </c>
      <c r="B762" s="5" t="s">
        <v>281</v>
      </c>
      <c r="C762" s="5" t="s">
        <v>1168</v>
      </c>
      <c r="F762" s="4" t="s">
        <v>581</v>
      </c>
      <c r="I762" s="11" t="s">
        <v>610</v>
      </c>
      <c r="L762" s="21" t="s">
        <v>2522</v>
      </c>
      <c r="N762" s="9" t="s">
        <v>3166</v>
      </c>
      <c r="U762" s="5" t="s">
        <v>1713</v>
      </c>
    </row>
    <row r="763" spans="1:21" x14ac:dyDescent="0.2">
      <c r="A763" s="3">
        <v>762</v>
      </c>
      <c r="B763" s="5" t="s">
        <v>282</v>
      </c>
      <c r="C763" s="5" t="s">
        <v>1168</v>
      </c>
      <c r="F763" s="4" t="s">
        <v>582</v>
      </c>
      <c r="I763" s="11" t="s">
        <v>611</v>
      </c>
      <c r="L763" s="21" t="s">
        <v>2543</v>
      </c>
      <c r="N763" s="9" t="s">
        <v>3167</v>
      </c>
      <c r="Q763" s="21" t="s">
        <v>3053</v>
      </c>
      <c r="S763" s="9" t="s">
        <v>3053</v>
      </c>
      <c r="U763" s="5" t="s">
        <v>3053</v>
      </c>
    </row>
    <row r="764" spans="1:21" x14ac:dyDescent="0.2">
      <c r="A764" s="3">
        <v>763</v>
      </c>
      <c r="B764" s="5" t="s">
        <v>283</v>
      </c>
      <c r="C764" s="5" t="s">
        <v>1168</v>
      </c>
      <c r="F764" s="4" t="s">
        <v>583</v>
      </c>
      <c r="I764" s="11" t="s">
        <v>612</v>
      </c>
      <c r="L764" s="21" t="s">
        <v>2544</v>
      </c>
      <c r="N764" s="9" t="s">
        <v>3550</v>
      </c>
      <c r="Q764" s="21" t="s">
        <v>2388</v>
      </c>
      <c r="S764" s="9" t="s">
        <v>3054</v>
      </c>
      <c r="U764" s="5" t="s">
        <v>2388</v>
      </c>
    </row>
    <row r="765" spans="1:21" x14ac:dyDescent="0.2">
      <c r="A765" s="3">
        <v>764</v>
      </c>
      <c r="B765" s="5" t="s">
        <v>1511</v>
      </c>
      <c r="C765" s="5" t="s">
        <v>1189</v>
      </c>
      <c r="U765" s="5" t="s">
        <v>1713</v>
      </c>
    </row>
    <row r="766" spans="1:21" x14ac:dyDescent="0.2">
      <c r="A766" s="3">
        <v>765</v>
      </c>
      <c r="B766" s="5" t="s">
        <v>490</v>
      </c>
      <c r="C766" s="5" t="s">
        <v>1174</v>
      </c>
      <c r="D766" s="5" t="s">
        <v>1206</v>
      </c>
      <c r="F766" s="4" t="s">
        <v>871</v>
      </c>
      <c r="I766" s="11" t="s">
        <v>842</v>
      </c>
      <c r="L766" s="21" t="s">
        <v>2752</v>
      </c>
      <c r="N766" s="9" t="s">
        <v>3328</v>
      </c>
      <c r="U766" s="5" t="s">
        <v>1713</v>
      </c>
    </row>
    <row r="767" spans="1:21" x14ac:dyDescent="0.2">
      <c r="A767" s="3">
        <v>766</v>
      </c>
      <c r="B767" s="5" t="s">
        <v>491</v>
      </c>
      <c r="C767" s="5" t="s">
        <v>1201</v>
      </c>
      <c r="F767" s="4" t="s">
        <v>872</v>
      </c>
      <c r="I767" s="11" t="s">
        <v>843</v>
      </c>
      <c r="L767" s="21" t="s">
        <v>2753</v>
      </c>
      <c r="N767" s="9" t="s">
        <v>3329</v>
      </c>
      <c r="U767" s="5" t="s">
        <v>1713</v>
      </c>
    </row>
    <row r="768" spans="1:21" x14ac:dyDescent="0.2">
      <c r="A768" s="3">
        <v>767</v>
      </c>
      <c r="B768" s="5" t="s">
        <v>404</v>
      </c>
      <c r="C768" s="5" t="s">
        <v>1173</v>
      </c>
      <c r="D768" s="5" t="s">
        <v>1172</v>
      </c>
      <c r="F768" s="4" t="s">
        <v>761</v>
      </c>
      <c r="L768" s="21" t="s">
        <v>2657</v>
      </c>
      <c r="U768" s="5" t="s">
        <v>1713</v>
      </c>
    </row>
    <row r="769" spans="1:21" x14ac:dyDescent="0.2">
      <c r="A769" s="3">
        <v>768</v>
      </c>
      <c r="B769" s="5" t="s">
        <v>405</v>
      </c>
      <c r="C769" s="5" t="s">
        <v>1173</v>
      </c>
      <c r="D769" s="5" t="s">
        <v>1172</v>
      </c>
      <c r="F769" s="4" t="s">
        <v>762</v>
      </c>
      <c r="L769" s="21" t="s">
        <v>2658</v>
      </c>
      <c r="Q769" s="21" t="s">
        <v>1055</v>
      </c>
      <c r="U769" s="5" t="s">
        <v>1055</v>
      </c>
    </row>
    <row r="770" spans="1:21" x14ac:dyDescent="0.2">
      <c r="A770" s="3">
        <v>769</v>
      </c>
      <c r="B770" s="5" t="s">
        <v>1512</v>
      </c>
      <c r="C770" s="5" t="s">
        <v>1223</v>
      </c>
      <c r="D770" s="5" t="s">
        <v>1181</v>
      </c>
      <c r="I770" s="11" t="s">
        <v>851</v>
      </c>
      <c r="N770" s="9" t="s">
        <v>3310</v>
      </c>
      <c r="U770" s="5" t="s">
        <v>1713</v>
      </c>
    </row>
    <row r="771" spans="1:21" x14ac:dyDescent="0.2">
      <c r="A771" s="3">
        <v>770</v>
      </c>
      <c r="B771" s="5" t="s">
        <v>1513</v>
      </c>
      <c r="C771" s="5" t="s">
        <v>1223</v>
      </c>
      <c r="D771" s="5" t="s">
        <v>1181</v>
      </c>
      <c r="I771" s="11" t="s">
        <v>852</v>
      </c>
      <c r="N771" s="9" t="s">
        <v>3335</v>
      </c>
      <c r="S771" s="9" t="s">
        <v>3094</v>
      </c>
      <c r="U771" s="5" t="s">
        <v>3094</v>
      </c>
    </row>
    <row r="772" spans="1:21" x14ac:dyDescent="0.2">
      <c r="A772" s="3">
        <v>771</v>
      </c>
      <c r="B772" s="5" t="s">
        <v>359</v>
      </c>
      <c r="C772" s="5" t="s">
        <v>1172</v>
      </c>
      <c r="F772" s="4" t="s">
        <v>685</v>
      </c>
      <c r="L772" s="21" t="s">
        <v>2720</v>
      </c>
      <c r="U772" s="5" t="s">
        <v>1713</v>
      </c>
    </row>
    <row r="773" spans="1:21" x14ac:dyDescent="0.2">
      <c r="A773" s="3">
        <v>772</v>
      </c>
      <c r="B773" s="5" t="s">
        <v>518</v>
      </c>
      <c r="C773" s="5" t="s">
        <v>1174</v>
      </c>
      <c r="F773" s="4" t="s">
        <v>910</v>
      </c>
      <c r="L773" s="21" t="s">
        <v>1156</v>
      </c>
      <c r="U773" s="5" t="s">
        <v>1713</v>
      </c>
    </row>
    <row r="774" spans="1:21" x14ac:dyDescent="0.2">
      <c r="A774" s="3">
        <v>773</v>
      </c>
      <c r="B774" s="5" t="s">
        <v>519</v>
      </c>
      <c r="C774" s="5" t="s">
        <v>1174</v>
      </c>
      <c r="F774" s="4" t="s">
        <v>911</v>
      </c>
      <c r="L774" s="21" t="s">
        <v>3550</v>
      </c>
      <c r="Q774" s="21" t="s">
        <v>1157</v>
      </c>
      <c r="U774" s="5" t="s">
        <v>1157</v>
      </c>
    </row>
    <row r="775" spans="1:21" x14ac:dyDescent="0.2">
      <c r="A775" s="3">
        <v>774</v>
      </c>
      <c r="B775" s="5" t="s">
        <v>1514</v>
      </c>
      <c r="C775" s="5" t="s">
        <v>1210</v>
      </c>
      <c r="D775" s="5" t="s">
        <v>1171</v>
      </c>
      <c r="U775" s="5" t="s">
        <v>1713</v>
      </c>
    </row>
    <row r="776" spans="1:21" x14ac:dyDescent="0.2">
      <c r="A776" s="3">
        <v>775</v>
      </c>
      <c r="B776" s="5" t="s">
        <v>1515</v>
      </c>
      <c r="C776" s="5" t="s">
        <v>1174</v>
      </c>
      <c r="I776" s="11" t="s">
        <v>844</v>
      </c>
      <c r="N776" s="9" t="s">
        <v>3123</v>
      </c>
      <c r="U776" s="5" t="s">
        <v>1713</v>
      </c>
    </row>
    <row r="777" spans="1:21" x14ac:dyDescent="0.2">
      <c r="A777" s="3">
        <v>776</v>
      </c>
      <c r="B777" s="5" t="s">
        <v>492</v>
      </c>
      <c r="C777" s="5" t="s">
        <v>1170</v>
      </c>
      <c r="D777" s="5" t="s">
        <v>1249</v>
      </c>
      <c r="F777" s="4" t="s">
        <v>876</v>
      </c>
      <c r="L777" s="21" t="s">
        <v>2756</v>
      </c>
      <c r="U777" s="5" t="s">
        <v>1713</v>
      </c>
    </row>
    <row r="778" spans="1:21" x14ac:dyDescent="0.2">
      <c r="A778" s="3">
        <v>777</v>
      </c>
      <c r="B778" s="5" t="s">
        <v>493</v>
      </c>
      <c r="C778" s="5" t="s">
        <v>1179</v>
      </c>
      <c r="D778" s="5" t="s">
        <v>1214</v>
      </c>
      <c r="F778" s="4" t="s">
        <v>877</v>
      </c>
      <c r="L778" s="21" t="s">
        <v>2757</v>
      </c>
      <c r="U778" s="5" t="s">
        <v>1713</v>
      </c>
    </row>
    <row r="779" spans="1:21" x14ac:dyDescent="0.2">
      <c r="A779" s="3">
        <v>778</v>
      </c>
      <c r="B779" s="5" t="s">
        <v>459</v>
      </c>
      <c r="C779" s="5" t="s">
        <v>1223</v>
      </c>
      <c r="D779" s="5" t="s">
        <v>1189</v>
      </c>
      <c r="F779" s="4" t="s">
        <v>830</v>
      </c>
      <c r="I779" s="11" t="s">
        <v>768</v>
      </c>
      <c r="L779" s="21" t="s">
        <v>2743</v>
      </c>
      <c r="N779" s="9" t="s">
        <v>3287</v>
      </c>
      <c r="U779" s="5" t="s">
        <v>1713</v>
      </c>
    </row>
    <row r="780" spans="1:21" x14ac:dyDescent="0.2">
      <c r="A780" s="3">
        <v>779</v>
      </c>
      <c r="B780" s="5" t="s">
        <v>1516</v>
      </c>
      <c r="C780" s="5" t="s">
        <v>1172</v>
      </c>
      <c r="D780" s="5" t="s">
        <v>1206</v>
      </c>
      <c r="I780" s="11" t="s">
        <v>864</v>
      </c>
      <c r="N780" s="9" t="s">
        <v>3341</v>
      </c>
      <c r="U780" s="5" t="s">
        <v>1713</v>
      </c>
    </row>
    <row r="781" spans="1:21" x14ac:dyDescent="0.2">
      <c r="A781" s="3">
        <v>780</v>
      </c>
      <c r="B781" s="5" t="s">
        <v>223</v>
      </c>
      <c r="C781" s="5" t="s">
        <v>1174</v>
      </c>
      <c r="D781" s="5" t="s">
        <v>1249</v>
      </c>
      <c r="F781" s="4" t="s">
        <v>875</v>
      </c>
      <c r="J781" s="19" t="s">
        <v>753</v>
      </c>
      <c r="L781" s="21" t="s">
        <v>2755</v>
      </c>
      <c r="O781" s="12" t="s">
        <v>2397</v>
      </c>
      <c r="T781" s="12" t="s">
        <v>1713</v>
      </c>
      <c r="U781" s="5" t="s">
        <v>1713</v>
      </c>
    </row>
    <row r="782" spans="1:21" x14ac:dyDescent="0.2">
      <c r="A782" s="3">
        <v>781</v>
      </c>
      <c r="B782" s="5" t="s">
        <v>502</v>
      </c>
      <c r="C782" s="5" t="s">
        <v>1223</v>
      </c>
      <c r="D782" s="5" t="s">
        <v>1168</v>
      </c>
      <c r="F782" s="4" t="s">
        <v>889</v>
      </c>
      <c r="L782" s="21" t="s">
        <v>2761</v>
      </c>
      <c r="U782" s="5" t="s">
        <v>1713</v>
      </c>
    </row>
    <row r="783" spans="1:21" x14ac:dyDescent="0.2">
      <c r="A783" s="3">
        <v>782</v>
      </c>
      <c r="B783" s="5" t="s">
        <v>523</v>
      </c>
      <c r="C783" s="5" t="s">
        <v>1249</v>
      </c>
      <c r="F783" s="4" t="s">
        <v>921</v>
      </c>
      <c r="L783" s="21" t="s">
        <v>2773</v>
      </c>
      <c r="U783" s="5" t="s">
        <v>1713</v>
      </c>
    </row>
    <row r="784" spans="1:21" x14ac:dyDescent="0.2">
      <c r="A784" s="3">
        <v>783</v>
      </c>
      <c r="B784" s="5" t="s">
        <v>524</v>
      </c>
      <c r="C784" s="5" t="s">
        <v>1249</v>
      </c>
      <c r="D784" s="5" t="s">
        <v>1201</v>
      </c>
      <c r="F784" s="4" t="s">
        <v>922</v>
      </c>
      <c r="L784" s="21" t="s">
        <v>2711</v>
      </c>
      <c r="Q784" s="21" t="s">
        <v>1108</v>
      </c>
      <c r="U784" s="5" t="s">
        <v>1108</v>
      </c>
    </row>
    <row r="785" spans="1:21" x14ac:dyDescent="0.2">
      <c r="A785" s="3">
        <v>784</v>
      </c>
      <c r="B785" s="5" t="s">
        <v>525</v>
      </c>
      <c r="C785" s="5" t="s">
        <v>1249</v>
      </c>
      <c r="D785" s="5" t="s">
        <v>1201</v>
      </c>
      <c r="F785" s="4" t="s">
        <v>923</v>
      </c>
      <c r="L785" s="21" t="s">
        <v>2708</v>
      </c>
      <c r="Q785" s="21" t="s">
        <v>1109</v>
      </c>
      <c r="U785" s="5" t="s">
        <v>1109</v>
      </c>
    </row>
    <row r="786" spans="1:21" x14ac:dyDescent="0.2">
      <c r="A786" s="3">
        <v>785</v>
      </c>
      <c r="B786" s="5" t="s">
        <v>1517</v>
      </c>
      <c r="C786" s="5" t="s">
        <v>1179</v>
      </c>
      <c r="D786" s="5" t="s">
        <v>1189</v>
      </c>
      <c r="U786" s="5" t="s">
        <v>1713</v>
      </c>
    </row>
    <row r="787" spans="1:21" x14ac:dyDescent="0.2">
      <c r="A787" s="3">
        <v>786</v>
      </c>
      <c r="B787" s="5" t="s">
        <v>1518</v>
      </c>
      <c r="C787" s="5" t="s">
        <v>1206</v>
      </c>
      <c r="D787" s="5" t="s">
        <v>1189</v>
      </c>
      <c r="U787" s="5" t="s">
        <v>1713</v>
      </c>
    </row>
    <row r="788" spans="1:21" x14ac:dyDescent="0.2">
      <c r="A788" s="3">
        <v>787</v>
      </c>
      <c r="B788" s="5" t="s">
        <v>1519</v>
      </c>
      <c r="C788" s="5" t="s">
        <v>1168</v>
      </c>
      <c r="D788" s="5" t="s">
        <v>1189</v>
      </c>
      <c r="U788" s="5" t="s">
        <v>1713</v>
      </c>
    </row>
    <row r="789" spans="1:21" x14ac:dyDescent="0.2">
      <c r="A789" s="3">
        <v>788</v>
      </c>
      <c r="B789" s="5" t="s">
        <v>1520</v>
      </c>
      <c r="C789" s="5" t="s">
        <v>1172</v>
      </c>
      <c r="D789" s="5" t="s">
        <v>1189</v>
      </c>
      <c r="U789" s="5" t="s">
        <v>1713</v>
      </c>
    </row>
    <row r="790" spans="1:21" x14ac:dyDescent="0.2">
      <c r="A790" s="3">
        <v>789</v>
      </c>
      <c r="B790" s="5" t="s">
        <v>1521</v>
      </c>
      <c r="C790" s="5" t="s">
        <v>1206</v>
      </c>
      <c r="U790" s="5" t="s">
        <v>1713</v>
      </c>
    </row>
    <row r="791" spans="1:21" x14ac:dyDescent="0.2">
      <c r="A791" s="3">
        <v>790</v>
      </c>
      <c r="B791" s="5" t="s">
        <v>1522</v>
      </c>
      <c r="C791" s="5" t="s">
        <v>1206</v>
      </c>
      <c r="U791" s="5" t="s">
        <v>1713</v>
      </c>
    </row>
    <row r="792" spans="1:21" x14ac:dyDescent="0.2">
      <c r="A792" s="3">
        <v>791</v>
      </c>
      <c r="B792" s="5" t="s">
        <v>1523</v>
      </c>
      <c r="C792" s="5" t="s">
        <v>1206</v>
      </c>
      <c r="D792" s="5" t="s">
        <v>1214</v>
      </c>
      <c r="U792" s="5" t="s">
        <v>1713</v>
      </c>
    </row>
    <row r="793" spans="1:21" x14ac:dyDescent="0.2">
      <c r="A793" s="3">
        <v>792</v>
      </c>
      <c r="B793" s="5" t="s">
        <v>1524</v>
      </c>
      <c r="C793" s="5" t="s">
        <v>1206</v>
      </c>
      <c r="D793" s="5" t="s">
        <v>1223</v>
      </c>
      <c r="U793" s="5" t="s">
        <v>1713</v>
      </c>
    </row>
    <row r="794" spans="1:21" x14ac:dyDescent="0.2">
      <c r="A794" s="3">
        <v>793</v>
      </c>
      <c r="B794" s="5" t="s">
        <v>1525</v>
      </c>
      <c r="C794" s="5" t="s">
        <v>1210</v>
      </c>
      <c r="D794" s="5" t="s">
        <v>1169</v>
      </c>
      <c r="U794" s="5" t="s">
        <v>1713</v>
      </c>
    </row>
    <row r="795" spans="1:21" x14ac:dyDescent="0.2">
      <c r="A795" s="3">
        <v>794</v>
      </c>
      <c r="B795" s="5" t="s">
        <v>1526</v>
      </c>
      <c r="C795" s="5" t="s">
        <v>1173</v>
      </c>
      <c r="D795" s="5" t="s">
        <v>1201</v>
      </c>
      <c r="U795" s="5" t="s">
        <v>1713</v>
      </c>
    </row>
    <row r="796" spans="1:21" x14ac:dyDescent="0.2">
      <c r="A796" s="3">
        <v>795</v>
      </c>
      <c r="B796" s="5" t="s">
        <v>1527</v>
      </c>
      <c r="C796" s="5" t="s">
        <v>1173</v>
      </c>
      <c r="D796" s="5" t="s">
        <v>1201</v>
      </c>
      <c r="U796" s="5" t="s">
        <v>1713</v>
      </c>
    </row>
    <row r="797" spans="1:21" x14ac:dyDescent="0.2">
      <c r="A797" s="3">
        <v>796</v>
      </c>
      <c r="B797" s="5" t="s">
        <v>1528</v>
      </c>
      <c r="C797" s="5" t="s">
        <v>1179</v>
      </c>
      <c r="U797" s="5" t="s">
        <v>1713</v>
      </c>
    </row>
    <row r="798" spans="1:21" x14ac:dyDescent="0.2">
      <c r="A798" s="3">
        <v>797</v>
      </c>
      <c r="B798" s="5" t="s">
        <v>1529</v>
      </c>
      <c r="C798" s="5" t="s">
        <v>1214</v>
      </c>
      <c r="D798" s="5" t="s">
        <v>1171</v>
      </c>
      <c r="U798" s="5" t="s">
        <v>1713</v>
      </c>
    </row>
    <row r="799" spans="1:21" x14ac:dyDescent="0.2">
      <c r="A799" s="3">
        <v>798</v>
      </c>
      <c r="B799" s="5" t="s">
        <v>1530</v>
      </c>
      <c r="C799" s="5" t="s">
        <v>1168</v>
      </c>
      <c r="D799" s="5" t="s">
        <v>1214</v>
      </c>
      <c r="U799" s="5" t="s">
        <v>1713</v>
      </c>
    </row>
    <row r="800" spans="1:21" x14ac:dyDescent="0.2">
      <c r="A800" s="3">
        <v>799</v>
      </c>
      <c r="B800" s="5" t="s">
        <v>1531</v>
      </c>
      <c r="C800" s="5" t="s">
        <v>1270</v>
      </c>
      <c r="D800" s="5" t="s">
        <v>1249</v>
      </c>
      <c r="U800" s="5" t="s">
        <v>1713</v>
      </c>
    </row>
    <row r="801" spans="1:21" x14ac:dyDescent="0.2">
      <c r="A801" s="3">
        <v>800</v>
      </c>
      <c r="B801" s="5" t="s">
        <v>1532</v>
      </c>
      <c r="C801" s="5" t="s">
        <v>1206</v>
      </c>
      <c r="U801" s="5" t="s">
        <v>1713</v>
      </c>
    </row>
    <row r="802" spans="1:21" x14ac:dyDescent="0.2">
      <c r="A802" s="3">
        <v>801</v>
      </c>
      <c r="B802" s="5" t="s">
        <v>1533</v>
      </c>
      <c r="C802" s="5" t="s">
        <v>1214</v>
      </c>
      <c r="D802" s="5" t="s">
        <v>1189</v>
      </c>
      <c r="U802" s="5" t="s">
        <v>1713</v>
      </c>
    </row>
    <row r="803" spans="1:21" x14ac:dyDescent="0.2">
      <c r="A803" s="3">
        <v>802</v>
      </c>
      <c r="B803" s="5" t="s">
        <v>1534</v>
      </c>
      <c r="C803" s="5" t="s">
        <v>1201</v>
      </c>
      <c r="D803" s="5" t="s">
        <v>1223</v>
      </c>
      <c r="U803" s="5" t="s">
        <v>1713</v>
      </c>
    </row>
    <row r="804" spans="1:21" x14ac:dyDescent="0.2">
      <c r="A804" s="3">
        <v>803</v>
      </c>
      <c r="B804" s="5" t="s">
        <v>1535</v>
      </c>
      <c r="C804" s="5" t="s">
        <v>1169</v>
      </c>
      <c r="U804" s="5" t="s">
        <v>1713</v>
      </c>
    </row>
    <row r="805" spans="1:21" x14ac:dyDescent="0.2">
      <c r="A805" s="3">
        <v>804</v>
      </c>
      <c r="B805" s="5" t="s">
        <v>1536</v>
      </c>
      <c r="C805" s="5" t="s">
        <v>1169</v>
      </c>
      <c r="D805" s="5" t="s">
        <v>1249</v>
      </c>
      <c r="U805" s="5" t="s">
        <v>1713</v>
      </c>
    </row>
    <row r="806" spans="1:21" x14ac:dyDescent="0.2">
      <c r="A806" s="3">
        <v>805</v>
      </c>
      <c r="B806" s="5" t="s">
        <v>1537</v>
      </c>
      <c r="C806" s="5" t="s">
        <v>1210</v>
      </c>
      <c r="D806" s="5" t="s">
        <v>1214</v>
      </c>
      <c r="U806" s="5" t="s">
        <v>1713</v>
      </c>
    </row>
    <row r="807" spans="1:21" x14ac:dyDescent="0.2">
      <c r="A807" s="3">
        <v>806</v>
      </c>
      <c r="B807" s="5" t="s">
        <v>1538</v>
      </c>
      <c r="C807" s="5" t="s">
        <v>1170</v>
      </c>
      <c r="D807" s="5" t="s">
        <v>1223</v>
      </c>
      <c r="U807" s="5" t="s">
        <v>1713</v>
      </c>
    </row>
    <row r="808" spans="1:21" x14ac:dyDescent="0.2">
      <c r="A808" s="3">
        <v>807</v>
      </c>
      <c r="B808" s="5" t="s">
        <v>1539</v>
      </c>
      <c r="C808" s="5" t="s">
        <v>1179</v>
      </c>
      <c r="U808" s="5" t="s">
        <v>1713</v>
      </c>
    </row>
    <row r="809" spans="1:21" x14ac:dyDescent="0.2">
      <c r="A809" s="3">
        <v>808</v>
      </c>
      <c r="B809" s="5" t="s">
        <v>1540</v>
      </c>
      <c r="C809" s="5" t="s">
        <v>1214</v>
      </c>
      <c r="U809" s="5" t="s">
        <v>1713</v>
      </c>
    </row>
    <row r="810" spans="1:21" x14ac:dyDescent="0.2">
      <c r="A810" s="3">
        <v>809</v>
      </c>
      <c r="B810" s="5" t="s">
        <v>1541</v>
      </c>
      <c r="C810" s="5" t="s">
        <v>1214</v>
      </c>
      <c r="F810" s="22"/>
      <c r="U810" s="5" t="s">
        <v>1713</v>
      </c>
    </row>
    <row r="811" spans="1:21" x14ac:dyDescent="0.2">
      <c r="A811" s="3">
        <v>810</v>
      </c>
      <c r="B811" s="5" t="s">
        <v>232</v>
      </c>
      <c r="C811" s="5" t="s">
        <v>1168</v>
      </c>
      <c r="F811" s="4" t="s">
        <v>930</v>
      </c>
      <c r="L811" s="21" t="s">
        <v>943</v>
      </c>
      <c r="U811" s="5" t="s">
        <v>1713</v>
      </c>
    </row>
    <row r="812" spans="1:21" x14ac:dyDescent="0.2">
      <c r="A812" s="3">
        <v>811</v>
      </c>
      <c r="B812" s="5" t="s">
        <v>233</v>
      </c>
      <c r="C812" s="5" t="s">
        <v>1168</v>
      </c>
      <c r="F812" s="4" t="s">
        <v>931</v>
      </c>
      <c r="L812" s="21" t="s">
        <v>3550</v>
      </c>
      <c r="Q812" s="21" t="s">
        <v>946</v>
      </c>
      <c r="U812" s="5" t="s">
        <v>946</v>
      </c>
    </row>
    <row r="813" spans="1:21" x14ac:dyDescent="0.2">
      <c r="A813" s="3">
        <v>812</v>
      </c>
      <c r="B813" s="5" t="s">
        <v>234</v>
      </c>
      <c r="C813" s="5" t="s">
        <v>1168</v>
      </c>
      <c r="F813" s="4" t="s">
        <v>932</v>
      </c>
      <c r="L813" s="21" t="s">
        <v>3550</v>
      </c>
      <c r="Q813" s="21" t="s">
        <v>947</v>
      </c>
      <c r="U813" s="5" t="s">
        <v>947</v>
      </c>
    </row>
    <row r="814" spans="1:21" x14ac:dyDescent="0.2">
      <c r="A814" s="3">
        <v>813</v>
      </c>
      <c r="B814" s="5" t="s">
        <v>235</v>
      </c>
      <c r="C814" s="5" t="s">
        <v>1170</v>
      </c>
      <c r="F814" s="4" t="s">
        <v>933</v>
      </c>
      <c r="L814" s="21" t="s">
        <v>943</v>
      </c>
      <c r="U814" s="5" t="s">
        <v>1713</v>
      </c>
    </row>
    <row r="815" spans="1:21" x14ac:dyDescent="0.2">
      <c r="A815" s="3">
        <v>814</v>
      </c>
      <c r="B815" s="5" t="s">
        <v>236</v>
      </c>
      <c r="C815" s="5" t="s">
        <v>1170</v>
      </c>
      <c r="F815" s="4" t="s">
        <v>934</v>
      </c>
      <c r="L815" s="21" t="s">
        <v>3550</v>
      </c>
      <c r="Q815" s="21" t="s">
        <v>948</v>
      </c>
      <c r="U815" s="5" t="s">
        <v>948</v>
      </c>
    </row>
    <row r="816" spans="1:21" x14ac:dyDescent="0.2">
      <c r="A816" s="3">
        <v>815</v>
      </c>
      <c r="B816" s="5" t="s">
        <v>237</v>
      </c>
      <c r="C816" s="5" t="s">
        <v>1170</v>
      </c>
      <c r="F816" s="4" t="s">
        <v>935</v>
      </c>
      <c r="L816" s="21" t="s">
        <v>3550</v>
      </c>
      <c r="Q816" s="21" t="s">
        <v>949</v>
      </c>
      <c r="U816" s="5" t="s">
        <v>949</v>
      </c>
    </row>
    <row r="817" spans="1:21" x14ac:dyDescent="0.2">
      <c r="A817" s="3">
        <v>816</v>
      </c>
      <c r="B817" s="5" t="s">
        <v>238</v>
      </c>
      <c r="C817" s="5" t="s">
        <v>1172</v>
      </c>
      <c r="F817" s="4" t="s">
        <v>936</v>
      </c>
      <c r="K817" s="18"/>
      <c r="L817" s="21" t="s">
        <v>943</v>
      </c>
      <c r="P817" s="18"/>
      <c r="U817" s="5" t="s">
        <v>1713</v>
      </c>
    </row>
    <row r="818" spans="1:21" x14ac:dyDescent="0.2">
      <c r="A818" s="3">
        <v>817</v>
      </c>
      <c r="B818" s="5" t="s">
        <v>239</v>
      </c>
      <c r="C818" s="5" t="s">
        <v>1172</v>
      </c>
      <c r="F818" s="4" t="s">
        <v>937</v>
      </c>
      <c r="K818" s="18"/>
      <c r="L818" s="21" t="s">
        <v>3550</v>
      </c>
      <c r="P818" s="18"/>
      <c r="Q818" s="21" t="s">
        <v>950</v>
      </c>
      <c r="U818" s="5" t="s">
        <v>950</v>
      </c>
    </row>
    <row r="819" spans="1:21" x14ac:dyDescent="0.2">
      <c r="A819" s="3">
        <v>818</v>
      </c>
      <c r="B819" s="5" t="s">
        <v>240</v>
      </c>
      <c r="C819" s="5" t="s">
        <v>1172</v>
      </c>
      <c r="F819" s="4" t="s">
        <v>538</v>
      </c>
      <c r="K819" s="18"/>
      <c r="L819" s="21" t="s">
        <v>3550</v>
      </c>
      <c r="P819" s="18"/>
      <c r="Q819" s="21" t="s">
        <v>951</v>
      </c>
      <c r="U819" s="5" t="s">
        <v>951</v>
      </c>
    </row>
    <row r="820" spans="1:21" x14ac:dyDescent="0.2">
      <c r="A820" s="3">
        <v>819</v>
      </c>
      <c r="B820" s="5" t="s">
        <v>255</v>
      </c>
      <c r="C820" s="5" t="s">
        <v>1174</v>
      </c>
      <c r="F820" s="4" t="s">
        <v>553</v>
      </c>
      <c r="I820" s="11" t="s">
        <v>558</v>
      </c>
      <c r="K820" s="18"/>
      <c r="L820" s="21" t="s">
        <v>2519</v>
      </c>
      <c r="N820" s="9" t="s">
        <v>3122</v>
      </c>
      <c r="P820" s="18"/>
      <c r="U820" s="5" t="s">
        <v>1713</v>
      </c>
    </row>
    <row r="821" spans="1:21" x14ac:dyDescent="0.2">
      <c r="A821" s="3">
        <v>820</v>
      </c>
      <c r="B821" s="5" t="s">
        <v>256</v>
      </c>
      <c r="C821" s="5" t="s">
        <v>1174</v>
      </c>
      <c r="F821" s="4" t="s">
        <v>554</v>
      </c>
      <c r="I821" s="11" t="s">
        <v>559</v>
      </c>
      <c r="K821" s="18"/>
      <c r="L821" s="21" t="s">
        <v>1120</v>
      </c>
      <c r="N821" s="9" t="s">
        <v>3123</v>
      </c>
      <c r="P821" s="18"/>
      <c r="Q821" s="21" t="s">
        <v>961</v>
      </c>
      <c r="S821" s="9" t="s">
        <v>961</v>
      </c>
      <c r="U821" s="5" t="s">
        <v>961</v>
      </c>
    </row>
    <row r="822" spans="1:21" x14ac:dyDescent="0.2">
      <c r="A822" s="3">
        <v>821</v>
      </c>
      <c r="B822" s="5" t="s">
        <v>252</v>
      </c>
      <c r="C822" s="5" t="s">
        <v>1171</v>
      </c>
      <c r="F822" s="4" t="s">
        <v>550</v>
      </c>
      <c r="I822" s="11" t="s">
        <v>569</v>
      </c>
      <c r="K822" s="18"/>
      <c r="L822" s="21" t="s">
        <v>2519</v>
      </c>
      <c r="N822" s="9" t="s">
        <v>3131</v>
      </c>
      <c r="P822" s="18"/>
      <c r="U822" s="5" t="s">
        <v>1713</v>
      </c>
    </row>
    <row r="823" spans="1:21" x14ac:dyDescent="0.2">
      <c r="A823" s="3">
        <v>822</v>
      </c>
      <c r="B823" s="5" t="s">
        <v>253</v>
      </c>
      <c r="C823" s="5" t="s">
        <v>1171</v>
      </c>
      <c r="F823" s="4" t="s">
        <v>551</v>
      </c>
      <c r="I823" s="11" t="s">
        <v>570</v>
      </c>
      <c r="K823" s="18"/>
      <c r="L823" s="21" t="s">
        <v>2520</v>
      </c>
      <c r="N823" s="9" t="s">
        <v>3131</v>
      </c>
      <c r="P823" s="18"/>
      <c r="Q823" s="21" t="s">
        <v>959</v>
      </c>
      <c r="S823" s="9" t="s">
        <v>959</v>
      </c>
      <c r="U823" s="5" t="s">
        <v>959</v>
      </c>
    </row>
    <row r="824" spans="1:21" x14ac:dyDescent="0.2">
      <c r="A824" s="3">
        <v>823</v>
      </c>
      <c r="B824" s="5" t="s">
        <v>254</v>
      </c>
      <c r="C824" s="5" t="s">
        <v>1171</v>
      </c>
      <c r="D824" s="5" t="s">
        <v>1214</v>
      </c>
      <c r="F824" s="4" t="s">
        <v>552</v>
      </c>
      <c r="I824" s="11" t="s">
        <v>571</v>
      </c>
      <c r="K824" s="18"/>
      <c r="L824" s="21" t="s">
        <v>2521</v>
      </c>
      <c r="N824" s="9" t="s">
        <v>3132</v>
      </c>
      <c r="P824" s="18"/>
      <c r="Q824" s="21" t="s">
        <v>960</v>
      </c>
      <c r="S824" s="9" t="s">
        <v>960</v>
      </c>
      <c r="U824" s="5" t="s">
        <v>960</v>
      </c>
    </row>
    <row r="825" spans="1:21" x14ac:dyDescent="0.2">
      <c r="A825" s="3">
        <v>824</v>
      </c>
      <c r="B825" s="5" t="s">
        <v>241</v>
      </c>
      <c r="C825" s="5" t="s">
        <v>1173</v>
      </c>
      <c r="F825" s="4" t="s">
        <v>539</v>
      </c>
      <c r="K825" s="18"/>
      <c r="L825" s="21" t="s">
        <v>2509</v>
      </c>
      <c r="P825" s="18"/>
      <c r="U825" s="5" t="s">
        <v>1713</v>
      </c>
    </row>
    <row r="826" spans="1:21" x14ac:dyDescent="0.2">
      <c r="A826" s="3">
        <v>825</v>
      </c>
      <c r="B826" s="5" t="s">
        <v>242</v>
      </c>
      <c r="C826" s="5" t="s">
        <v>1173</v>
      </c>
      <c r="D826" s="5" t="s">
        <v>1206</v>
      </c>
      <c r="F826" s="4" t="s">
        <v>540</v>
      </c>
      <c r="K826" s="18"/>
      <c r="L826" s="21" t="s">
        <v>2510</v>
      </c>
      <c r="P826" s="18"/>
      <c r="Q826" s="21" t="s">
        <v>952</v>
      </c>
      <c r="U826" s="5" t="s">
        <v>952</v>
      </c>
    </row>
    <row r="827" spans="1:21" x14ac:dyDescent="0.2">
      <c r="A827" s="3">
        <v>826</v>
      </c>
      <c r="B827" s="5" t="s">
        <v>243</v>
      </c>
      <c r="C827" s="5" t="s">
        <v>1173</v>
      </c>
      <c r="D827" s="5" t="s">
        <v>1206</v>
      </c>
      <c r="F827" s="4" t="s">
        <v>541</v>
      </c>
      <c r="K827" s="18"/>
      <c r="L827" s="21" t="s">
        <v>2511</v>
      </c>
      <c r="P827" s="18"/>
      <c r="Q827" s="21" t="s">
        <v>953</v>
      </c>
      <c r="U827" s="5" t="s">
        <v>953</v>
      </c>
    </row>
    <row r="828" spans="1:21" x14ac:dyDescent="0.2">
      <c r="A828" s="3">
        <v>827</v>
      </c>
      <c r="B828" s="5" t="s">
        <v>260</v>
      </c>
      <c r="C828" s="5" t="s">
        <v>1270</v>
      </c>
      <c r="F828" s="4" t="s">
        <v>558</v>
      </c>
      <c r="K828" s="18"/>
      <c r="L828" s="21" t="s">
        <v>2524</v>
      </c>
      <c r="P828" s="18"/>
      <c r="U828" s="5" t="s">
        <v>1713</v>
      </c>
    </row>
    <row r="829" spans="1:21" x14ac:dyDescent="0.2">
      <c r="A829" s="3">
        <v>828</v>
      </c>
      <c r="B829" s="5" t="s">
        <v>261</v>
      </c>
      <c r="C829" s="5" t="s">
        <v>1270</v>
      </c>
      <c r="F829" s="4" t="s">
        <v>559</v>
      </c>
      <c r="K829" s="18"/>
      <c r="L829" s="21" t="s">
        <v>2525</v>
      </c>
      <c r="P829" s="18"/>
      <c r="Q829" s="21" t="s">
        <v>964</v>
      </c>
      <c r="U829" s="5" t="s">
        <v>964</v>
      </c>
    </row>
    <row r="830" spans="1:21" x14ac:dyDescent="0.2">
      <c r="A830" s="3">
        <v>829</v>
      </c>
      <c r="B830" s="5" t="s">
        <v>337</v>
      </c>
      <c r="C830" s="5" t="s">
        <v>1168</v>
      </c>
      <c r="F830" s="4" t="s">
        <v>655</v>
      </c>
      <c r="K830" s="18"/>
      <c r="L830" s="21" t="s">
        <v>2600</v>
      </c>
      <c r="P830" s="18"/>
      <c r="Q830" s="21" t="s">
        <v>1007</v>
      </c>
      <c r="U830" s="5" t="s">
        <v>1007</v>
      </c>
    </row>
    <row r="831" spans="1:21" x14ac:dyDescent="0.2">
      <c r="A831" s="3">
        <v>830</v>
      </c>
      <c r="B831" s="5" t="s">
        <v>338</v>
      </c>
      <c r="C831" s="5" t="s">
        <v>1168</v>
      </c>
      <c r="F831" s="4" t="s">
        <v>656</v>
      </c>
      <c r="K831" s="18"/>
      <c r="L831" s="21" t="s">
        <v>1121</v>
      </c>
      <c r="P831" s="18"/>
      <c r="Q831" s="21" t="s">
        <v>1008</v>
      </c>
      <c r="U831" s="5" t="s">
        <v>1008</v>
      </c>
    </row>
    <row r="832" spans="1:21" x14ac:dyDescent="0.2">
      <c r="A832" s="3">
        <v>831</v>
      </c>
      <c r="B832" s="5" t="s">
        <v>265</v>
      </c>
      <c r="C832" s="5" t="s">
        <v>1174</v>
      </c>
      <c r="F832" s="4" t="s">
        <v>563</v>
      </c>
      <c r="K832" s="18"/>
      <c r="L832" s="21" t="s">
        <v>2519</v>
      </c>
      <c r="P832" s="18"/>
      <c r="U832" s="5" t="s">
        <v>1713</v>
      </c>
    </row>
    <row r="833" spans="1:21" x14ac:dyDescent="0.2">
      <c r="A833" s="3">
        <v>832</v>
      </c>
      <c r="B833" s="5" t="s">
        <v>266</v>
      </c>
      <c r="C833" s="5" t="s">
        <v>1174</v>
      </c>
      <c r="F833" s="4" t="s">
        <v>564</v>
      </c>
      <c r="K833" s="18"/>
      <c r="L833" s="21" t="s">
        <v>2529</v>
      </c>
      <c r="P833" s="18"/>
      <c r="Q833" s="21" t="s">
        <v>967</v>
      </c>
      <c r="U833" s="5" t="s">
        <v>967</v>
      </c>
    </row>
    <row r="834" spans="1:21" x14ac:dyDescent="0.2">
      <c r="A834" s="3">
        <v>833</v>
      </c>
      <c r="B834" s="5" t="s">
        <v>273</v>
      </c>
      <c r="C834" s="5" t="s">
        <v>1172</v>
      </c>
      <c r="F834" s="4" t="s">
        <v>571</v>
      </c>
      <c r="I834" s="11" t="s">
        <v>586</v>
      </c>
      <c r="K834" s="18"/>
      <c r="L834" s="21" t="s">
        <v>2534</v>
      </c>
      <c r="N834" s="9" t="s">
        <v>3146</v>
      </c>
      <c r="P834" s="18"/>
      <c r="U834" s="5" t="s">
        <v>1713</v>
      </c>
    </row>
    <row r="835" spans="1:21" x14ac:dyDescent="0.2">
      <c r="A835" s="3">
        <v>834</v>
      </c>
      <c r="B835" s="5" t="s">
        <v>274</v>
      </c>
      <c r="C835" s="5" t="s">
        <v>1172</v>
      </c>
      <c r="D835" s="5" t="s">
        <v>1210</v>
      </c>
      <c r="F835" s="4" t="s">
        <v>572</v>
      </c>
      <c r="I835" s="11" t="s">
        <v>587</v>
      </c>
      <c r="K835" s="18"/>
      <c r="L835" s="21" t="s">
        <v>2535</v>
      </c>
      <c r="N835" s="9" t="s">
        <v>3147</v>
      </c>
      <c r="P835" s="18"/>
      <c r="Q835" s="21" t="s">
        <v>972</v>
      </c>
      <c r="S835" s="9" t="s">
        <v>972</v>
      </c>
      <c r="U835" s="5" t="s">
        <v>972</v>
      </c>
    </row>
    <row r="836" spans="1:21" x14ac:dyDescent="0.2">
      <c r="A836" s="3">
        <v>835</v>
      </c>
      <c r="B836" s="5" t="s">
        <v>277</v>
      </c>
      <c r="C836" s="5" t="s">
        <v>1179</v>
      </c>
      <c r="F836" s="4" t="s">
        <v>575</v>
      </c>
      <c r="K836" s="18"/>
      <c r="L836" s="21" t="s">
        <v>2538</v>
      </c>
      <c r="P836" s="18"/>
      <c r="U836" s="5" t="s">
        <v>1713</v>
      </c>
    </row>
    <row r="837" spans="1:21" x14ac:dyDescent="0.2">
      <c r="A837" s="3">
        <v>836</v>
      </c>
      <c r="B837" s="5" t="s">
        <v>278</v>
      </c>
      <c r="C837" s="5" t="s">
        <v>1179</v>
      </c>
      <c r="F837" s="4" t="s">
        <v>576</v>
      </c>
      <c r="K837" s="18"/>
      <c r="L837" s="21" t="s">
        <v>2539</v>
      </c>
      <c r="P837" s="18"/>
      <c r="Q837" s="21" t="s">
        <v>974</v>
      </c>
      <c r="U837" s="5" t="s">
        <v>974</v>
      </c>
    </row>
    <row r="838" spans="1:21" x14ac:dyDescent="0.2">
      <c r="A838" s="3">
        <v>837</v>
      </c>
      <c r="B838" s="5" t="s">
        <v>362</v>
      </c>
      <c r="C838" s="5" t="s">
        <v>1210</v>
      </c>
      <c r="F838" s="4" t="s">
        <v>690</v>
      </c>
      <c r="I838" s="11" t="s">
        <v>620</v>
      </c>
      <c r="K838" s="18"/>
      <c r="L838" s="21" t="s">
        <v>2541</v>
      </c>
      <c r="N838" s="9" t="s">
        <v>3172</v>
      </c>
      <c r="P838" s="18"/>
      <c r="U838" s="5" t="s">
        <v>1713</v>
      </c>
    </row>
    <row r="839" spans="1:21" x14ac:dyDescent="0.2">
      <c r="A839" s="3">
        <v>838</v>
      </c>
      <c r="B839" s="5" t="s">
        <v>363</v>
      </c>
      <c r="C839" s="5" t="s">
        <v>1210</v>
      </c>
      <c r="D839" s="5" t="s">
        <v>1170</v>
      </c>
      <c r="F839" s="4" t="s">
        <v>691</v>
      </c>
      <c r="I839" s="11" t="s">
        <v>621</v>
      </c>
      <c r="K839" s="18"/>
      <c r="L839" s="21" t="s">
        <v>2620</v>
      </c>
      <c r="N839" s="9" t="s">
        <v>3172</v>
      </c>
      <c r="P839" s="18"/>
      <c r="Q839" s="21" t="s">
        <v>1026</v>
      </c>
      <c r="S839" s="9" t="s">
        <v>1026</v>
      </c>
      <c r="U839" s="5" t="s">
        <v>1026</v>
      </c>
    </row>
    <row r="840" spans="1:21" x14ac:dyDescent="0.2">
      <c r="A840" s="3">
        <v>839</v>
      </c>
      <c r="B840" s="5" t="s">
        <v>364</v>
      </c>
      <c r="C840" s="5" t="s">
        <v>1210</v>
      </c>
      <c r="D840" s="5" t="s">
        <v>1170</v>
      </c>
      <c r="F840" s="4" t="s">
        <v>692</v>
      </c>
      <c r="I840" s="11" t="s">
        <v>622</v>
      </c>
      <c r="K840" s="18"/>
      <c r="L840" s="21" t="s">
        <v>2513</v>
      </c>
      <c r="N840" s="9" t="s">
        <v>3550</v>
      </c>
      <c r="P840" s="18"/>
      <c r="Q840" s="21" t="s">
        <v>1027</v>
      </c>
      <c r="S840" s="9" t="s">
        <v>1027</v>
      </c>
      <c r="U840" s="5" t="s">
        <v>1027</v>
      </c>
    </row>
    <row r="841" spans="1:21" x14ac:dyDescent="0.2">
      <c r="A841" s="3">
        <v>840</v>
      </c>
      <c r="B841" s="5" t="s">
        <v>387</v>
      </c>
      <c r="C841" s="5" t="s">
        <v>1168</v>
      </c>
      <c r="D841" s="5" t="s">
        <v>1249</v>
      </c>
      <c r="F841" s="4" t="s">
        <v>734</v>
      </c>
      <c r="I841" s="11" t="s">
        <v>637</v>
      </c>
      <c r="K841" s="18"/>
      <c r="L841" s="21" t="s">
        <v>2642</v>
      </c>
      <c r="N841" s="9" t="s">
        <v>3187</v>
      </c>
      <c r="P841" s="18"/>
      <c r="U841" s="5" t="s">
        <v>1713</v>
      </c>
    </row>
    <row r="842" spans="1:21" x14ac:dyDescent="0.2">
      <c r="A842" s="3">
        <v>841</v>
      </c>
      <c r="B842" s="5" t="s">
        <v>388</v>
      </c>
      <c r="C842" s="5" t="s">
        <v>1168</v>
      </c>
      <c r="D842" s="5" t="s">
        <v>1249</v>
      </c>
      <c r="F842" s="4" t="s">
        <v>735</v>
      </c>
      <c r="I842" s="11" t="s">
        <v>638</v>
      </c>
      <c r="K842" s="18"/>
      <c r="L842" s="21" t="s">
        <v>2507</v>
      </c>
      <c r="N842" s="9" t="s">
        <v>3550</v>
      </c>
      <c r="P842" s="18"/>
      <c r="Q842" s="21" t="s">
        <v>1043</v>
      </c>
      <c r="S842" s="9" t="s">
        <v>1043</v>
      </c>
      <c r="U842" s="5" t="s">
        <v>1043</v>
      </c>
    </row>
    <row r="843" spans="1:21" x14ac:dyDescent="0.2">
      <c r="A843" s="3">
        <v>842</v>
      </c>
      <c r="B843" s="5" t="s">
        <v>389</v>
      </c>
      <c r="C843" s="5" t="s">
        <v>1168</v>
      </c>
      <c r="D843" s="5" t="s">
        <v>1249</v>
      </c>
      <c r="F843" s="4" t="s">
        <v>736</v>
      </c>
      <c r="I843" s="11" t="s">
        <v>639</v>
      </c>
      <c r="K843" s="18"/>
      <c r="L843" s="21" t="s">
        <v>2508</v>
      </c>
      <c r="N843" s="9" t="s">
        <v>3550</v>
      </c>
      <c r="P843" s="18"/>
      <c r="Q843" s="21" t="s">
        <v>3062</v>
      </c>
      <c r="S843" s="9" t="s">
        <v>3062</v>
      </c>
      <c r="U843" s="5" t="s">
        <v>3062</v>
      </c>
    </row>
    <row r="844" spans="1:21" x14ac:dyDescent="0.2">
      <c r="A844" s="3">
        <v>843</v>
      </c>
      <c r="B844" s="5" t="s">
        <v>470</v>
      </c>
      <c r="C844" s="5" t="s">
        <v>1181</v>
      </c>
      <c r="F844" s="4" t="s">
        <v>841</v>
      </c>
      <c r="I844" s="11" t="s">
        <v>799</v>
      </c>
      <c r="K844" s="18"/>
      <c r="L844" s="21" t="s">
        <v>2691</v>
      </c>
      <c r="N844" s="9" t="s">
        <v>3289</v>
      </c>
      <c r="P844" s="18"/>
      <c r="U844" s="5" t="s">
        <v>1713</v>
      </c>
    </row>
    <row r="845" spans="1:21" x14ac:dyDescent="0.2">
      <c r="A845" s="3">
        <v>844</v>
      </c>
      <c r="B845" s="5" t="s">
        <v>471</v>
      </c>
      <c r="C845" s="5" t="s">
        <v>1181</v>
      </c>
      <c r="F845" s="4" t="s">
        <v>842</v>
      </c>
      <c r="I845" s="11" t="s">
        <v>800</v>
      </c>
      <c r="K845" s="18"/>
      <c r="L845" s="21" t="s">
        <v>2595</v>
      </c>
      <c r="N845" s="9" t="s">
        <v>3289</v>
      </c>
      <c r="P845" s="18"/>
      <c r="Q845" s="21" t="s">
        <v>1085</v>
      </c>
      <c r="S845" s="9" t="s">
        <v>1085</v>
      </c>
      <c r="U845" s="5" t="s">
        <v>1085</v>
      </c>
    </row>
    <row r="846" spans="1:21" x14ac:dyDescent="0.2">
      <c r="A846" s="3">
        <v>845</v>
      </c>
      <c r="B846" s="5" t="s">
        <v>467</v>
      </c>
      <c r="C846" s="5" t="s">
        <v>1171</v>
      </c>
      <c r="D846" s="5" t="s">
        <v>1172</v>
      </c>
      <c r="F846" s="4" t="s">
        <v>838</v>
      </c>
      <c r="K846" s="18"/>
      <c r="L846" s="21" t="s">
        <v>2690</v>
      </c>
      <c r="P846" s="18"/>
      <c r="U846" s="5" t="s">
        <v>1713</v>
      </c>
    </row>
    <row r="847" spans="1:21" x14ac:dyDescent="0.2">
      <c r="A847" s="3">
        <v>846</v>
      </c>
      <c r="B847" s="5" t="s">
        <v>375</v>
      </c>
      <c r="C847" s="5" t="s">
        <v>1172</v>
      </c>
      <c r="F847" s="4" t="s">
        <v>709</v>
      </c>
      <c r="I847" s="11" t="s">
        <v>665</v>
      </c>
      <c r="K847" s="18"/>
      <c r="L847" s="21" t="s">
        <v>1125</v>
      </c>
      <c r="N847" s="9" t="s">
        <v>3209</v>
      </c>
      <c r="P847" s="18"/>
      <c r="U847" s="5" t="s">
        <v>1713</v>
      </c>
    </row>
    <row r="848" spans="1:21" x14ac:dyDescent="0.2">
      <c r="A848" s="3">
        <v>847</v>
      </c>
      <c r="B848" s="5" t="s">
        <v>376</v>
      </c>
      <c r="C848" s="5" t="s">
        <v>1172</v>
      </c>
      <c r="F848" s="4" t="s">
        <v>710</v>
      </c>
      <c r="I848" s="11" t="s">
        <v>666</v>
      </c>
      <c r="K848" s="18"/>
      <c r="L848" s="21" t="s">
        <v>2627</v>
      </c>
      <c r="N848" s="9" t="s">
        <v>3210</v>
      </c>
      <c r="P848" s="18"/>
      <c r="Q848" s="21" t="s">
        <v>1035</v>
      </c>
      <c r="S848" s="9" t="s">
        <v>1035</v>
      </c>
      <c r="U848" s="5" t="s">
        <v>1035</v>
      </c>
    </row>
    <row r="849" spans="1:21" x14ac:dyDescent="0.2">
      <c r="A849" s="3">
        <v>848</v>
      </c>
      <c r="B849" s="5" t="s">
        <v>468</v>
      </c>
      <c r="C849" s="5" t="s">
        <v>1179</v>
      </c>
      <c r="D849" s="5" t="s">
        <v>1169</v>
      </c>
      <c r="F849" s="4" t="s">
        <v>839</v>
      </c>
      <c r="I849" s="11" t="s">
        <v>727</v>
      </c>
      <c r="K849" s="18"/>
      <c r="L849" s="21" t="s">
        <v>2746</v>
      </c>
      <c r="N849" s="9" t="s">
        <v>3256</v>
      </c>
      <c r="P849" s="18"/>
      <c r="U849" s="5" t="s">
        <v>1713</v>
      </c>
    </row>
    <row r="850" spans="1:21" x14ac:dyDescent="0.2">
      <c r="A850" s="3">
        <v>849</v>
      </c>
      <c r="B850" s="5" t="s">
        <v>469</v>
      </c>
      <c r="C850" s="5" t="s">
        <v>1179</v>
      </c>
      <c r="D850" s="5" t="s">
        <v>1169</v>
      </c>
      <c r="F850" s="4" t="s">
        <v>840</v>
      </c>
      <c r="I850" s="24" t="s">
        <v>727</v>
      </c>
      <c r="K850" s="18"/>
      <c r="L850" s="21" t="s">
        <v>3550</v>
      </c>
      <c r="N850" s="9" t="s">
        <v>3257</v>
      </c>
      <c r="P850" s="18"/>
      <c r="Q850" s="21" t="s">
        <v>1084</v>
      </c>
      <c r="S850" s="9" t="s">
        <v>1084</v>
      </c>
      <c r="U850" s="5" t="s">
        <v>1084</v>
      </c>
    </row>
    <row r="851" spans="1:21" x14ac:dyDescent="0.2">
      <c r="A851" s="3">
        <v>850</v>
      </c>
      <c r="B851" s="5" t="s">
        <v>360</v>
      </c>
      <c r="C851" s="5" t="s">
        <v>1170</v>
      </c>
      <c r="D851" s="5" t="s">
        <v>1173</v>
      </c>
      <c r="F851" s="4" t="s">
        <v>688</v>
      </c>
      <c r="K851" s="18"/>
      <c r="L851" s="21" t="s">
        <v>3550</v>
      </c>
      <c r="P851" s="18"/>
      <c r="U851" s="5" t="s">
        <v>1713</v>
      </c>
    </row>
    <row r="852" spans="1:21" x14ac:dyDescent="0.2">
      <c r="A852" s="3">
        <v>851</v>
      </c>
      <c r="B852" s="5" t="s">
        <v>361</v>
      </c>
      <c r="C852" s="5" t="s">
        <v>1170</v>
      </c>
      <c r="D852" s="5" t="s">
        <v>1173</v>
      </c>
      <c r="F852" s="4" t="s">
        <v>689</v>
      </c>
      <c r="K852" s="18"/>
      <c r="L852" s="21" t="s">
        <v>2534</v>
      </c>
      <c r="P852" s="18"/>
      <c r="Q852" s="21" t="s">
        <v>1025</v>
      </c>
      <c r="U852" s="5" t="s">
        <v>1025</v>
      </c>
    </row>
    <row r="853" spans="1:21" x14ac:dyDescent="0.2">
      <c r="A853" s="3">
        <v>852</v>
      </c>
      <c r="B853" s="5" t="s">
        <v>496</v>
      </c>
      <c r="C853" s="5" t="s">
        <v>1201</v>
      </c>
      <c r="F853" s="4" t="s">
        <v>880</v>
      </c>
      <c r="K853" s="18"/>
      <c r="L853" s="21" t="s">
        <v>2656</v>
      </c>
      <c r="P853" s="18"/>
      <c r="U853" s="5" t="s">
        <v>1713</v>
      </c>
    </row>
    <row r="854" spans="1:21" x14ac:dyDescent="0.2">
      <c r="A854" s="3">
        <v>853</v>
      </c>
      <c r="B854" s="5" t="s">
        <v>497</v>
      </c>
      <c r="C854" s="5" t="s">
        <v>1201</v>
      </c>
      <c r="F854" s="4" t="s">
        <v>881</v>
      </c>
      <c r="K854" s="18"/>
      <c r="L854" s="21" t="s">
        <v>2701</v>
      </c>
      <c r="P854" s="18"/>
      <c r="Q854" s="21" t="s">
        <v>2391</v>
      </c>
      <c r="U854" s="5" t="s">
        <v>2391</v>
      </c>
    </row>
    <row r="855" spans="1:21" x14ac:dyDescent="0.2">
      <c r="A855" s="3">
        <v>854</v>
      </c>
      <c r="B855" s="5" t="s">
        <v>485</v>
      </c>
      <c r="C855" s="5" t="s">
        <v>1223</v>
      </c>
      <c r="F855" s="4" t="s">
        <v>864</v>
      </c>
      <c r="I855" s="11" t="s">
        <v>766</v>
      </c>
      <c r="K855" s="18"/>
      <c r="L855" s="21" t="s">
        <v>2774</v>
      </c>
      <c r="N855" s="9" t="s">
        <v>3286</v>
      </c>
      <c r="P855" s="18"/>
      <c r="U855" s="5" t="s">
        <v>1713</v>
      </c>
    </row>
    <row r="856" spans="1:21" x14ac:dyDescent="0.2">
      <c r="A856" s="3">
        <v>855</v>
      </c>
      <c r="B856" s="5" t="s">
        <v>486</v>
      </c>
      <c r="C856" s="5" t="s">
        <v>1223</v>
      </c>
      <c r="F856" s="4" t="s">
        <v>865</v>
      </c>
      <c r="I856" s="11" t="s">
        <v>767</v>
      </c>
      <c r="K856" s="18"/>
      <c r="L856" s="21" t="s">
        <v>3550</v>
      </c>
      <c r="N856" s="9" t="s">
        <v>3550</v>
      </c>
      <c r="P856" s="18"/>
      <c r="Q856" s="21" t="s">
        <v>1145</v>
      </c>
      <c r="S856" s="9" t="s">
        <v>1145</v>
      </c>
      <c r="U856" s="5" t="s">
        <v>1145</v>
      </c>
    </row>
    <row r="857" spans="1:21" x14ac:dyDescent="0.2">
      <c r="A857" s="3">
        <v>856</v>
      </c>
      <c r="B857" s="5" t="s">
        <v>411</v>
      </c>
      <c r="C857" s="5" t="s">
        <v>1206</v>
      </c>
      <c r="F857" s="4" t="s">
        <v>770</v>
      </c>
      <c r="I857" s="11" t="s">
        <v>811</v>
      </c>
      <c r="K857" s="18"/>
      <c r="L857" s="21" t="s">
        <v>2662</v>
      </c>
      <c r="N857" s="9" t="s">
        <v>3307</v>
      </c>
      <c r="P857" s="18"/>
      <c r="U857" s="5" t="s">
        <v>1713</v>
      </c>
    </row>
    <row r="858" spans="1:21" x14ac:dyDescent="0.2">
      <c r="A858" s="3">
        <v>857</v>
      </c>
      <c r="B858" s="5" t="s">
        <v>412</v>
      </c>
      <c r="C858" s="5" t="s">
        <v>1206</v>
      </c>
      <c r="F858" s="4" t="s">
        <v>771</v>
      </c>
      <c r="I858" s="11" t="s">
        <v>812</v>
      </c>
      <c r="K858" s="18"/>
      <c r="L858" s="21" t="s">
        <v>2661</v>
      </c>
      <c r="N858" s="9" t="s">
        <v>3308</v>
      </c>
      <c r="P858" s="18"/>
      <c r="Q858" s="21" t="s">
        <v>1060</v>
      </c>
      <c r="S858" s="9" t="s">
        <v>1060</v>
      </c>
      <c r="U858" s="5" t="s">
        <v>1060</v>
      </c>
    </row>
    <row r="859" spans="1:21" x14ac:dyDescent="0.2">
      <c r="A859" s="3">
        <v>858</v>
      </c>
      <c r="B859" s="5" t="s">
        <v>413</v>
      </c>
      <c r="C859" s="5" t="s">
        <v>1206</v>
      </c>
      <c r="D859" s="5" t="s">
        <v>1189</v>
      </c>
      <c r="F859" s="4" t="s">
        <v>772</v>
      </c>
      <c r="I859" s="11" t="s">
        <v>813</v>
      </c>
      <c r="K859" s="18"/>
      <c r="L859" s="21" t="s">
        <v>2572</v>
      </c>
      <c r="N859" s="9" t="s">
        <v>3550</v>
      </c>
      <c r="P859" s="18"/>
      <c r="Q859" s="21" t="s">
        <v>1061</v>
      </c>
      <c r="S859" s="9" t="s">
        <v>1061</v>
      </c>
      <c r="U859" s="5" t="s">
        <v>1061</v>
      </c>
    </row>
    <row r="860" spans="1:21" x14ac:dyDescent="0.2">
      <c r="A860" s="3">
        <v>859</v>
      </c>
      <c r="B860" s="5" t="s">
        <v>408</v>
      </c>
      <c r="C860" s="5" t="s">
        <v>1270</v>
      </c>
      <c r="D860" s="5" t="s">
        <v>1189</v>
      </c>
      <c r="F860" s="4" t="s">
        <v>767</v>
      </c>
      <c r="I860" s="11" t="s">
        <v>814</v>
      </c>
      <c r="K860" s="18"/>
      <c r="L860" s="21" t="s">
        <v>2660</v>
      </c>
      <c r="N860" s="9" t="s">
        <v>3260</v>
      </c>
      <c r="P860" s="18"/>
      <c r="U860" s="5" t="s">
        <v>1713</v>
      </c>
    </row>
    <row r="861" spans="1:21" x14ac:dyDescent="0.2">
      <c r="A861" s="3">
        <v>860</v>
      </c>
      <c r="B861" s="5" t="s">
        <v>409</v>
      </c>
      <c r="C861" s="5" t="s">
        <v>1270</v>
      </c>
      <c r="D861" s="5" t="s">
        <v>1189</v>
      </c>
      <c r="F861" s="4" t="s">
        <v>768</v>
      </c>
      <c r="I861" s="11" t="s">
        <v>815</v>
      </c>
      <c r="K861" s="18"/>
      <c r="L861" s="21" t="s">
        <v>2661</v>
      </c>
      <c r="N861" s="9" t="s">
        <v>3309</v>
      </c>
      <c r="P861" s="18"/>
      <c r="Q861" s="21" t="s">
        <v>1058</v>
      </c>
      <c r="S861" s="9" t="s">
        <v>1058</v>
      </c>
      <c r="U861" s="5" t="s">
        <v>1058</v>
      </c>
    </row>
    <row r="862" spans="1:21" x14ac:dyDescent="0.2">
      <c r="A862" s="3">
        <v>861</v>
      </c>
      <c r="B862" s="5" t="s">
        <v>410</v>
      </c>
      <c r="C862" s="5" t="s">
        <v>1270</v>
      </c>
      <c r="D862" s="5" t="s">
        <v>1189</v>
      </c>
      <c r="F862" s="4" t="s">
        <v>769</v>
      </c>
      <c r="I862" s="11" t="s">
        <v>816</v>
      </c>
      <c r="K862" s="18"/>
      <c r="L862" s="21" t="s">
        <v>2543</v>
      </c>
      <c r="N862" s="9" t="s">
        <v>3550</v>
      </c>
      <c r="P862" s="18"/>
      <c r="Q862" s="21" t="s">
        <v>1059</v>
      </c>
      <c r="S862" s="9" t="s">
        <v>1059</v>
      </c>
      <c r="U862" s="5" t="s">
        <v>1059</v>
      </c>
    </row>
    <row r="863" spans="1:21" x14ac:dyDescent="0.2">
      <c r="A863" s="3">
        <v>862</v>
      </c>
      <c r="B863" s="5" t="s">
        <v>264</v>
      </c>
      <c r="C863" s="5" t="s">
        <v>1270</v>
      </c>
      <c r="D863" s="5" t="s">
        <v>1174</v>
      </c>
      <c r="F863" s="4" t="s">
        <v>562</v>
      </c>
      <c r="K863" s="18"/>
      <c r="L863" s="21" t="s">
        <v>2528</v>
      </c>
      <c r="P863" s="18"/>
      <c r="Q863" s="21" t="s">
        <v>966</v>
      </c>
      <c r="U863" s="5" t="s">
        <v>966</v>
      </c>
    </row>
    <row r="864" spans="1:21" x14ac:dyDescent="0.2">
      <c r="A864" s="3">
        <v>863</v>
      </c>
      <c r="B864" s="5" t="s">
        <v>379</v>
      </c>
      <c r="C864" s="5" t="s">
        <v>1214</v>
      </c>
      <c r="F864" s="4" t="s">
        <v>712</v>
      </c>
      <c r="K864" s="18"/>
      <c r="L864" s="21" t="s">
        <v>2525</v>
      </c>
      <c r="P864" s="18"/>
      <c r="Q864" s="21" t="s">
        <v>1036</v>
      </c>
      <c r="U864" s="5" t="s">
        <v>1036</v>
      </c>
    </row>
    <row r="865" spans="1:21" x14ac:dyDescent="0.2">
      <c r="A865" s="3">
        <v>864</v>
      </c>
      <c r="B865" s="5" t="s">
        <v>407</v>
      </c>
      <c r="C865" s="5" t="s">
        <v>1223</v>
      </c>
      <c r="F865" s="4" t="s">
        <v>766</v>
      </c>
      <c r="K865" s="18"/>
      <c r="L865" s="21" t="s">
        <v>3550</v>
      </c>
      <c r="P865" s="18"/>
      <c r="Q865" s="21" t="s">
        <v>1057</v>
      </c>
      <c r="U865" s="5" t="s">
        <v>1057</v>
      </c>
    </row>
    <row r="866" spans="1:21" x14ac:dyDescent="0.2">
      <c r="A866" s="3">
        <v>865</v>
      </c>
      <c r="B866" s="5" t="s">
        <v>1161</v>
      </c>
      <c r="C866" s="5" t="s">
        <v>1201</v>
      </c>
      <c r="F866" s="22" t="s">
        <v>748</v>
      </c>
      <c r="K866" s="18"/>
      <c r="L866" s="21" t="s">
        <v>3550</v>
      </c>
      <c r="P866" s="18"/>
      <c r="Q866" s="21" t="s">
        <v>1049</v>
      </c>
      <c r="U866" s="5" t="s">
        <v>1049</v>
      </c>
    </row>
    <row r="867" spans="1:21" x14ac:dyDescent="0.2">
      <c r="A867" s="3">
        <v>866</v>
      </c>
      <c r="B867" s="5" t="s">
        <v>508</v>
      </c>
      <c r="C867" s="5" t="s">
        <v>1220</v>
      </c>
      <c r="D867" s="5" t="s">
        <v>1206</v>
      </c>
      <c r="F867" s="4" t="s">
        <v>895</v>
      </c>
      <c r="K867" s="18"/>
      <c r="L867" s="21" t="s">
        <v>3550</v>
      </c>
      <c r="P867" s="18"/>
      <c r="Q867" s="21" t="s">
        <v>1100</v>
      </c>
      <c r="U867" s="5" t="s">
        <v>1100</v>
      </c>
    </row>
    <row r="868" spans="1:21" x14ac:dyDescent="0.2">
      <c r="A868" s="3">
        <v>867</v>
      </c>
      <c r="B868" s="5" t="s">
        <v>481</v>
      </c>
      <c r="C868" s="5" t="s">
        <v>1181</v>
      </c>
      <c r="D868" s="5" t="s">
        <v>1223</v>
      </c>
      <c r="F868" s="4" t="s">
        <v>857</v>
      </c>
      <c r="K868" s="18"/>
      <c r="L868" s="21" t="s">
        <v>3550</v>
      </c>
      <c r="P868" s="18"/>
      <c r="Q868" s="21" t="s">
        <v>1144</v>
      </c>
      <c r="U868" s="5" t="s">
        <v>1144</v>
      </c>
    </row>
    <row r="869" spans="1:21" x14ac:dyDescent="0.2">
      <c r="A869" s="3">
        <v>868</v>
      </c>
      <c r="B869" s="5" t="s">
        <v>381</v>
      </c>
      <c r="C869" s="5" t="s">
        <v>1189</v>
      </c>
      <c r="F869" s="4" t="s">
        <v>714</v>
      </c>
      <c r="K869" s="18"/>
      <c r="L869" s="21" t="s">
        <v>2628</v>
      </c>
      <c r="P869" s="18"/>
      <c r="U869" s="5" t="s">
        <v>1713</v>
      </c>
    </row>
    <row r="870" spans="1:21" x14ac:dyDescent="0.2">
      <c r="A870" s="3">
        <v>869</v>
      </c>
      <c r="B870" s="5" t="s">
        <v>382</v>
      </c>
      <c r="C870" s="5" t="s">
        <v>1189</v>
      </c>
      <c r="F870" s="4" t="s">
        <v>715</v>
      </c>
      <c r="K870" s="18"/>
      <c r="L870" s="21" t="s">
        <v>3550</v>
      </c>
      <c r="P870" s="18"/>
      <c r="Q870" s="21" t="s">
        <v>1126</v>
      </c>
      <c r="U870" s="5" t="s">
        <v>1126</v>
      </c>
    </row>
    <row r="871" spans="1:21" x14ac:dyDescent="0.2">
      <c r="A871" s="3">
        <v>870</v>
      </c>
      <c r="B871" s="5" t="s">
        <v>211</v>
      </c>
      <c r="C871" s="5" t="s">
        <v>1201</v>
      </c>
      <c r="F871" s="4" t="s">
        <v>874</v>
      </c>
      <c r="I871" s="11" t="s">
        <v>829</v>
      </c>
      <c r="J871" s="19" t="s">
        <v>741</v>
      </c>
      <c r="L871" s="21" t="s">
        <v>2623</v>
      </c>
      <c r="N871" s="9" t="s">
        <v>3319</v>
      </c>
      <c r="O871" s="12" t="s">
        <v>1698</v>
      </c>
      <c r="T871" s="12" t="s">
        <v>1713</v>
      </c>
      <c r="U871" s="5" t="s">
        <v>1713</v>
      </c>
    </row>
    <row r="872" spans="1:21" x14ac:dyDescent="0.2">
      <c r="A872" s="3">
        <v>871</v>
      </c>
      <c r="B872" s="5" t="s">
        <v>1163</v>
      </c>
      <c r="C872" s="5" t="s">
        <v>1179</v>
      </c>
      <c r="F872" s="22" t="s">
        <v>882</v>
      </c>
      <c r="I872" s="11" t="s">
        <v>850</v>
      </c>
      <c r="K872" s="18"/>
      <c r="L872" s="21" t="s">
        <v>2759</v>
      </c>
      <c r="N872" s="9" t="s">
        <v>3334</v>
      </c>
      <c r="P872" s="18"/>
      <c r="U872" s="5" t="s">
        <v>1713</v>
      </c>
    </row>
    <row r="873" spans="1:21" x14ac:dyDescent="0.2">
      <c r="A873" s="3">
        <v>872</v>
      </c>
      <c r="B873" s="5" t="s">
        <v>494</v>
      </c>
      <c r="C873" s="5" t="s">
        <v>1220</v>
      </c>
      <c r="D873" s="5" t="s">
        <v>1173</v>
      </c>
      <c r="F873" s="4" t="s">
        <v>878</v>
      </c>
      <c r="I873" s="11" t="s">
        <v>879</v>
      </c>
      <c r="K873" s="18"/>
      <c r="L873" s="21" t="s">
        <v>2758</v>
      </c>
      <c r="N873" s="9" t="s">
        <v>3353</v>
      </c>
      <c r="P873" s="18"/>
      <c r="U873" s="5" t="s">
        <v>1713</v>
      </c>
    </row>
    <row r="874" spans="1:21" x14ac:dyDescent="0.2">
      <c r="A874" s="3">
        <v>873</v>
      </c>
      <c r="B874" s="5" t="s">
        <v>495</v>
      </c>
      <c r="C874" s="5" t="s">
        <v>1220</v>
      </c>
      <c r="D874" s="5" t="s">
        <v>1173</v>
      </c>
      <c r="F874" s="4" t="s">
        <v>879</v>
      </c>
      <c r="I874" s="11" t="s">
        <v>880</v>
      </c>
      <c r="K874" s="18"/>
      <c r="L874" s="21" t="s">
        <v>3550</v>
      </c>
      <c r="N874" s="9" t="s">
        <v>3354</v>
      </c>
      <c r="P874" s="18"/>
      <c r="Q874" s="21" t="s">
        <v>1147</v>
      </c>
      <c r="S874" s="9" t="s">
        <v>1147</v>
      </c>
      <c r="U874" s="5" t="s">
        <v>1147</v>
      </c>
    </row>
    <row r="875" spans="1:21" x14ac:dyDescent="0.2">
      <c r="A875" s="3">
        <v>874</v>
      </c>
      <c r="B875" s="5" t="s">
        <v>942</v>
      </c>
      <c r="C875" s="5" t="s">
        <v>1210</v>
      </c>
      <c r="F875" s="4" t="s">
        <v>898</v>
      </c>
      <c r="I875" s="11" t="s">
        <v>848</v>
      </c>
      <c r="K875" s="18"/>
      <c r="L875" s="21" t="s">
        <v>2763</v>
      </c>
      <c r="N875" s="9" t="s">
        <v>3332</v>
      </c>
      <c r="P875" s="18"/>
      <c r="U875" s="5" t="s">
        <v>1713</v>
      </c>
    </row>
    <row r="876" spans="1:21" x14ac:dyDescent="0.2">
      <c r="A876" s="3">
        <v>875</v>
      </c>
      <c r="B876" s="5" t="s">
        <v>510</v>
      </c>
      <c r="C876" s="5" t="s">
        <v>1220</v>
      </c>
      <c r="F876" s="4" t="s">
        <v>899</v>
      </c>
      <c r="I876" s="24" t="s">
        <v>849</v>
      </c>
      <c r="K876" s="18"/>
      <c r="L876" s="21" t="s">
        <v>2764</v>
      </c>
      <c r="N876" s="9" t="s">
        <v>3333</v>
      </c>
      <c r="P876" s="18"/>
      <c r="U876" s="5" t="s">
        <v>1713</v>
      </c>
    </row>
    <row r="877" spans="1:21" x14ac:dyDescent="0.2">
      <c r="A877" s="3">
        <v>876</v>
      </c>
      <c r="B877" s="5" t="s">
        <v>487</v>
      </c>
      <c r="C877" s="5" t="s">
        <v>1206</v>
      </c>
      <c r="D877" s="5" t="s">
        <v>1174</v>
      </c>
      <c r="F877" s="4" t="s">
        <v>866</v>
      </c>
      <c r="I877" s="24" t="s">
        <v>770</v>
      </c>
      <c r="K877" s="18"/>
      <c r="L877" s="21" t="s">
        <v>2750</v>
      </c>
      <c r="N877" s="9" t="s">
        <v>3288</v>
      </c>
      <c r="P877" s="18"/>
      <c r="U877" s="5" t="s">
        <v>1713</v>
      </c>
    </row>
    <row r="878" spans="1:21" x14ac:dyDescent="0.2">
      <c r="A878" s="3">
        <v>877</v>
      </c>
      <c r="B878" s="5" t="s">
        <v>1146</v>
      </c>
      <c r="C878" s="5" t="s">
        <v>1179</v>
      </c>
      <c r="D878" s="5" t="s">
        <v>1270</v>
      </c>
      <c r="F878" s="4" t="s">
        <v>873</v>
      </c>
      <c r="K878" s="18"/>
      <c r="L878" s="21" t="s">
        <v>2754</v>
      </c>
      <c r="P878" s="18"/>
      <c r="U878" s="5" t="s">
        <v>1713</v>
      </c>
    </row>
    <row r="879" spans="1:21" x14ac:dyDescent="0.2">
      <c r="A879" s="3">
        <v>878</v>
      </c>
      <c r="B879" s="5" t="s">
        <v>460</v>
      </c>
      <c r="C879" s="5" t="s">
        <v>1214</v>
      </c>
      <c r="F879" s="4" t="s">
        <v>831</v>
      </c>
      <c r="I879" s="11" t="s">
        <v>653</v>
      </c>
      <c r="K879" s="18"/>
      <c r="L879" s="21" t="s">
        <v>2744</v>
      </c>
      <c r="N879" s="9" t="s">
        <v>3172</v>
      </c>
      <c r="P879" s="18"/>
      <c r="U879" s="5" t="s">
        <v>1713</v>
      </c>
    </row>
    <row r="880" spans="1:21" x14ac:dyDescent="0.2">
      <c r="A880" s="3">
        <v>879</v>
      </c>
      <c r="B880" s="5" t="s">
        <v>461</v>
      </c>
      <c r="C880" s="5" t="s">
        <v>1214</v>
      </c>
      <c r="F880" s="4" t="s">
        <v>832</v>
      </c>
      <c r="I880" s="11" t="s">
        <v>654</v>
      </c>
      <c r="K880" s="18"/>
      <c r="L880" s="21" t="s">
        <v>2632</v>
      </c>
      <c r="N880" s="9" t="s">
        <v>3200</v>
      </c>
      <c r="P880" s="18"/>
      <c r="Q880" s="21" t="s">
        <v>1081</v>
      </c>
      <c r="S880" s="9" t="s">
        <v>1081</v>
      </c>
      <c r="U880" s="5" t="s">
        <v>1081</v>
      </c>
    </row>
    <row r="881" spans="1:21" x14ac:dyDescent="0.2">
      <c r="A881" s="3">
        <v>880</v>
      </c>
      <c r="B881" s="5" t="s">
        <v>514</v>
      </c>
      <c r="C881" s="5" t="s">
        <v>1179</v>
      </c>
      <c r="D881" s="5" t="s">
        <v>1249</v>
      </c>
      <c r="F881" s="4" t="s">
        <v>903</v>
      </c>
      <c r="K881" s="18"/>
      <c r="L881" s="21" t="s">
        <v>1151</v>
      </c>
      <c r="P881" s="18"/>
      <c r="U881" s="5" t="s">
        <v>1713</v>
      </c>
    </row>
    <row r="882" spans="1:21" x14ac:dyDescent="0.2">
      <c r="A882" s="3">
        <v>881</v>
      </c>
      <c r="B882" s="5" t="s">
        <v>515</v>
      </c>
      <c r="C882" s="5" t="s">
        <v>1179</v>
      </c>
      <c r="D882" s="5" t="s">
        <v>1220</v>
      </c>
      <c r="F882" s="4" t="s">
        <v>904</v>
      </c>
      <c r="K882" s="18"/>
      <c r="L882" s="21" t="s">
        <v>1152</v>
      </c>
      <c r="P882" s="18"/>
      <c r="U882" s="5" t="s">
        <v>1713</v>
      </c>
    </row>
    <row r="883" spans="1:21" x14ac:dyDescent="0.2">
      <c r="A883" s="3">
        <v>882</v>
      </c>
      <c r="B883" s="5" t="s">
        <v>516</v>
      </c>
      <c r="C883" s="5" t="s">
        <v>1172</v>
      </c>
      <c r="D883" s="5" t="s">
        <v>1249</v>
      </c>
      <c r="F883" s="4" t="s">
        <v>905</v>
      </c>
      <c r="K883" s="18"/>
      <c r="L883" s="21" t="s">
        <v>1153</v>
      </c>
      <c r="P883" s="18"/>
      <c r="U883" s="5" t="s">
        <v>1713</v>
      </c>
    </row>
    <row r="884" spans="1:21" x14ac:dyDescent="0.2">
      <c r="A884" s="3">
        <v>883</v>
      </c>
      <c r="B884" s="5" t="s">
        <v>517</v>
      </c>
      <c r="C884" s="5" t="s">
        <v>1172</v>
      </c>
      <c r="D884" s="5" t="s">
        <v>1220</v>
      </c>
      <c r="F884" s="4" t="s">
        <v>906</v>
      </c>
      <c r="K884" s="18"/>
      <c r="L884" s="21" t="s">
        <v>1154</v>
      </c>
      <c r="P884" s="18"/>
      <c r="U884" s="5" t="s">
        <v>1713</v>
      </c>
    </row>
    <row r="885" spans="1:21" x14ac:dyDescent="0.2">
      <c r="A885" s="3">
        <v>884</v>
      </c>
      <c r="B885" s="5" t="s">
        <v>511</v>
      </c>
      <c r="C885" s="5" t="s">
        <v>1214</v>
      </c>
      <c r="D885" s="5" t="s">
        <v>1249</v>
      </c>
      <c r="F885" s="4" t="s">
        <v>900</v>
      </c>
      <c r="K885" s="18"/>
      <c r="L885" s="21" t="s">
        <v>2626</v>
      </c>
      <c r="P885" s="18"/>
      <c r="U885" s="5" t="s">
        <v>1713</v>
      </c>
    </row>
    <row r="886" spans="1:21" x14ac:dyDescent="0.2">
      <c r="A886" s="3">
        <v>885</v>
      </c>
      <c r="B886" s="5" t="s">
        <v>526</v>
      </c>
      <c r="C886" s="5" t="s">
        <v>1249</v>
      </c>
      <c r="D886" s="5" t="s">
        <v>1223</v>
      </c>
      <c r="F886" s="4" t="s">
        <v>924</v>
      </c>
      <c r="I886" s="11" t="s">
        <v>834</v>
      </c>
      <c r="K886" s="18"/>
      <c r="L886" s="21" t="s">
        <v>2710</v>
      </c>
      <c r="N886" s="9" t="s">
        <v>3324</v>
      </c>
      <c r="P886" s="18"/>
      <c r="U886" s="5" t="s">
        <v>1713</v>
      </c>
    </row>
    <row r="887" spans="1:21" x14ac:dyDescent="0.2">
      <c r="A887" s="3">
        <v>886</v>
      </c>
      <c r="B887" s="5" t="s">
        <v>527</v>
      </c>
      <c r="C887" s="5" t="s">
        <v>1249</v>
      </c>
      <c r="D887" s="5" t="s">
        <v>1223</v>
      </c>
      <c r="F887" s="4" t="s">
        <v>925</v>
      </c>
      <c r="I887" s="11" t="s">
        <v>835</v>
      </c>
      <c r="K887" s="18"/>
      <c r="L887" s="21" t="s">
        <v>2709</v>
      </c>
      <c r="N887" s="9" t="s">
        <v>3213</v>
      </c>
      <c r="P887" s="18"/>
      <c r="Q887" s="21" t="s">
        <v>1110</v>
      </c>
      <c r="S887" s="9" t="s">
        <v>1110</v>
      </c>
      <c r="U887" s="5" t="s">
        <v>1110</v>
      </c>
    </row>
    <row r="888" spans="1:21" x14ac:dyDescent="0.2">
      <c r="A888" s="3">
        <v>887</v>
      </c>
      <c r="B888" s="5" t="s">
        <v>528</v>
      </c>
      <c r="C888" s="5" t="s">
        <v>1249</v>
      </c>
      <c r="D888" s="5" t="s">
        <v>1223</v>
      </c>
      <c r="F888" s="4" t="s">
        <v>926</v>
      </c>
      <c r="I888" s="11" t="s">
        <v>836</v>
      </c>
      <c r="K888" s="18"/>
      <c r="L888" s="21" t="s">
        <v>3550</v>
      </c>
      <c r="N888" s="9" t="s">
        <v>3550</v>
      </c>
      <c r="P888" s="18"/>
      <c r="Q888" s="21" t="s">
        <v>1111</v>
      </c>
      <c r="S888" s="9" t="s">
        <v>1111</v>
      </c>
      <c r="U888" s="5" t="s">
        <v>1111</v>
      </c>
    </row>
    <row r="889" spans="1:21" x14ac:dyDescent="0.2">
      <c r="A889" s="3">
        <v>888</v>
      </c>
      <c r="B889" s="5" t="s">
        <v>529</v>
      </c>
      <c r="C889" s="5" t="s">
        <v>1189</v>
      </c>
      <c r="F889" s="4" t="s">
        <v>927</v>
      </c>
      <c r="K889" s="18"/>
      <c r="L889" s="21" t="s">
        <v>2997</v>
      </c>
      <c r="P889" s="18"/>
      <c r="U889" s="5" t="s">
        <v>1713</v>
      </c>
    </row>
    <row r="890" spans="1:21" x14ac:dyDescent="0.2">
      <c r="A890" s="3">
        <v>889</v>
      </c>
      <c r="B890" s="5" t="s">
        <v>530</v>
      </c>
      <c r="C890" s="5" t="s">
        <v>1201</v>
      </c>
      <c r="F890" s="4" t="s">
        <v>928</v>
      </c>
      <c r="K890" s="18"/>
      <c r="L890" s="21" t="s">
        <v>2998</v>
      </c>
      <c r="P890" s="18"/>
      <c r="U890" s="5" t="s">
        <v>1713</v>
      </c>
    </row>
    <row r="891" spans="1:21" x14ac:dyDescent="0.2">
      <c r="A891" s="3">
        <v>890</v>
      </c>
      <c r="B891" s="5" t="s">
        <v>531</v>
      </c>
      <c r="C891" s="5" t="s">
        <v>1169</v>
      </c>
      <c r="D891" s="5" t="s">
        <v>1249</v>
      </c>
      <c r="F891" s="4" t="s">
        <v>929</v>
      </c>
      <c r="K891" s="18"/>
      <c r="L891" s="21" t="s">
        <v>1159</v>
      </c>
      <c r="P891" s="18"/>
      <c r="U891" s="5" t="s">
        <v>1713</v>
      </c>
    </row>
    <row r="892" spans="1:21" x14ac:dyDescent="0.2">
      <c r="A892" s="3">
        <v>891</v>
      </c>
      <c r="B892" s="5" t="s">
        <v>1542</v>
      </c>
      <c r="C892" s="5" t="s">
        <v>1201</v>
      </c>
      <c r="K892" s="18"/>
      <c r="P892" s="18"/>
      <c r="U892" s="5" t="s">
        <v>1713</v>
      </c>
    </row>
    <row r="893" spans="1:21" x14ac:dyDescent="0.2">
      <c r="A893" s="3">
        <v>892</v>
      </c>
      <c r="B893" s="5" t="s">
        <v>1543</v>
      </c>
      <c r="C893" s="5" t="s">
        <v>1201</v>
      </c>
      <c r="D893" s="5" t="s">
        <v>1270</v>
      </c>
      <c r="K893" s="18"/>
      <c r="P893" s="18"/>
      <c r="U893" s="5" t="s">
        <v>1713</v>
      </c>
    </row>
    <row r="894" spans="1:21" x14ac:dyDescent="0.2">
      <c r="A894" s="3">
        <v>893</v>
      </c>
      <c r="B894" s="5" t="s">
        <v>1544</v>
      </c>
      <c r="C894" s="5" t="s">
        <v>1270</v>
      </c>
      <c r="D894" s="5" t="s">
        <v>1168</v>
      </c>
      <c r="K894" s="18"/>
      <c r="P894" s="18"/>
      <c r="U894" s="5" t="s">
        <v>1713</v>
      </c>
    </row>
    <row r="895" spans="1:21" x14ac:dyDescent="0.2">
      <c r="A895" s="3">
        <v>894</v>
      </c>
      <c r="B895" s="5" t="s">
        <v>1545</v>
      </c>
      <c r="C895" s="5" t="s">
        <v>1179</v>
      </c>
      <c r="K895" s="18"/>
      <c r="P895" s="18"/>
      <c r="U895" s="5" t="s">
        <v>1713</v>
      </c>
    </row>
    <row r="896" spans="1:21" x14ac:dyDescent="0.2">
      <c r="A896" s="3">
        <v>895</v>
      </c>
      <c r="B896" s="5" t="s">
        <v>1546</v>
      </c>
      <c r="C896" s="5" t="s">
        <v>1249</v>
      </c>
      <c r="K896" s="18"/>
      <c r="P896" s="18"/>
      <c r="U896" s="5" t="s">
        <v>1713</v>
      </c>
    </row>
    <row r="897" spans="1:21" x14ac:dyDescent="0.2">
      <c r="A897" s="3">
        <v>896</v>
      </c>
      <c r="B897" s="5" t="s">
        <v>1547</v>
      </c>
      <c r="C897" s="5" t="s">
        <v>1220</v>
      </c>
      <c r="K897" s="18"/>
      <c r="P897" s="18"/>
      <c r="U897" s="5" t="s">
        <v>1713</v>
      </c>
    </row>
    <row r="898" spans="1:21" x14ac:dyDescent="0.2">
      <c r="A898" s="3">
        <v>897</v>
      </c>
      <c r="B898" s="5" t="s">
        <v>1548</v>
      </c>
      <c r="C898" s="5" t="s">
        <v>1223</v>
      </c>
      <c r="K898" s="18"/>
      <c r="P898" s="18"/>
      <c r="U898" s="5" t="s">
        <v>1713</v>
      </c>
    </row>
    <row r="899" spans="1:21" x14ac:dyDescent="0.2">
      <c r="A899" s="3">
        <v>898</v>
      </c>
      <c r="B899" s="5" t="s">
        <v>1549</v>
      </c>
      <c r="C899" s="5" t="s">
        <v>1206</v>
      </c>
      <c r="D899" s="5" t="s">
        <v>1168</v>
      </c>
      <c r="K899" s="18"/>
      <c r="P899" s="18"/>
      <c r="U899" s="5" t="s">
        <v>1713</v>
      </c>
    </row>
    <row r="900" spans="1:21" x14ac:dyDescent="0.2">
      <c r="A900" s="3">
        <v>899</v>
      </c>
      <c r="B900" s="5" t="s">
        <v>1550</v>
      </c>
      <c r="C900" s="5" t="s">
        <v>1174</v>
      </c>
      <c r="D900" s="5" t="s">
        <v>1206</v>
      </c>
      <c r="K900" s="18"/>
      <c r="P900" s="18"/>
      <c r="U900" s="5" t="s">
        <v>1713</v>
      </c>
    </row>
    <row r="901" spans="1:21" x14ac:dyDescent="0.2">
      <c r="A901" s="3">
        <v>900</v>
      </c>
      <c r="B901" s="5" t="s">
        <v>1551</v>
      </c>
      <c r="C901" s="5" t="s">
        <v>1173</v>
      </c>
      <c r="D901" s="5" t="s">
        <v>1210</v>
      </c>
      <c r="K901" s="18"/>
      <c r="P901" s="18"/>
      <c r="U901" s="5" t="s">
        <v>1713</v>
      </c>
    </row>
    <row r="902" spans="1:21" x14ac:dyDescent="0.2">
      <c r="A902" s="3">
        <v>901</v>
      </c>
      <c r="B902" s="5" t="s">
        <v>1552</v>
      </c>
      <c r="C902" s="5" t="s">
        <v>1181</v>
      </c>
      <c r="D902" s="5" t="s">
        <v>1174</v>
      </c>
      <c r="K902" s="18"/>
      <c r="P902" s="18"/>
      <c r="U902" s="5" t="s">
        <v>1713</v>
      </c>
    </row>
    <row r="903" spans="1:21" x14ac:dyDescent="0.2">
      <c r="A903" s="3">
        <v>902</v>
      </c>
      <c r="B903" s="5" t="s">
        <v>1553</v>
      </c>
      <c r="C903" s="5" t="s">
        <v>1172</v>
      </c>
      <c r="D903" s="5" t="s">
        <v>1223</v>
      </c>
      <c r="K903" s="18"/>
      <c r="P903" s="18"/>
      <c r="U903" s="5" t="s">
        <v>1713</v>
      </c>
    </row>
    <row r="904" spans="1:21" x14ac:dyDescent="0.2">
      <c r="A904" s="3">
        <v>903</v>
      </c>
      <c r="B904" s="5" t="s">
        <v>1554</v>
      </c>
      <c r="C904" s="5" t="s">
        <v>1201</v>
      </c>
      <c r="D904" s="5" t="s">
        <v>1169</v>
      </c>
      <c r="K904" s="18"/>
      <c r="P904" s="18"/>
      <c r="U904" s="5" t="s">
        <v>1713</v>
      </c>
    </row>
    <row r="905" spans="1:21" x14ac:dyDescent="0.2">
      <c r="A905" s="3">
        <v>904</v>
      </c>
      <c r="B905" s="5" t="s">
        <v>1555</v>
      </c>
      <c r="C905" s="5" t="s">
        <v>1270</v>
      </c>
      <c r="D905" s="5" t="s">
        <v>1169</v>
      </c>
      <c r="K905" s="18"/>
      <c r="P905" s="18"/>
      <c r="U905" s="5" t="s">
        <v>1713</v>
      </c>
    </row>
    <row r="906" spans="1:21" x14ac:dyDescent="0.2">
      <c r="A906" s="3">
        <v>905</v>
      </c>
      <c r="B906" s="5" t="s">
        <v>1556</v>
      </c>
      <c r="C906" s="5" t="s">
        <v>1189</v>
      </c>
      <c r="D906" s="5" t="s">
        <v>1171</v>
      </c>
      <c r="K906" s="18"/>
      <c r="P906" s="18"/>
      <c r="U906" s="5" t="s">
        <v>1713</v>
      </c>
    </row>
    <row r="907" spans="1:21" x14ac:dyDescent="0.2">
      <c r="A907" s="3">
        <v>906</v>
      </c>
      <c r="B907" s="5" t="s">
        <v>1557</v>
      </c>
      <c r="C907" s="5" t="s">
        <v>1168</v>
      </c>
      <c r="I907" s="11" t="s">
        <v>930</v>
      </c>
      <c r="K907" s="18"/>
      <c r="N907" s="9" t="s">
        <v>943</v>
      </c>
      <c r="P907" s="18"/>
      <c r="U907" s="5" t="s">
        <v>1713</v>
      </c>
    </row>
    <row r="908" spans="1:21" x14ac:dyDescent="0.2">
      <c r="A908" s="3">
        <v>907</v>
      </c>
      <c r="B908" s="5" t="s">
        <v>1558</v>
      </c>
      <c r="C908" s="5" t="s">
        <v>1168</v>
      </c>
      <c r="I908" s="11" t="s">
        <v>931</v>
      </c>
      <c r="K908" s="18"/>
      <c r="N908" s="9" t="s">
        <v>3550</v>
      </c>
      <c r="P908" s="18"/>
      <c r="S908" s="9" t="s">
        <v>2999</v>
      </c>
      <c r="U908" s="5" t="s">
        <v>2999</v>
      </c>
    </row>
    <row r="909" spans="1:21" x14ac:dyDescent="0.2">
      <c r="A909" s="3">
        <v>908</v>
      </c>
      <c r="B909" s="5" t="s">
        <v>1559</v>
      </c>
      <c r="C909" s="5" t="s">
        <v>1168</v>
      </c>
      <c r="D909" s="5" t="s">
        <v>1270</v>
      </c>
      <c r="I909" s="11" t="s">
        <v>932</v>
      </c>
      <c r="K909" s="18"/>
      <c r="N909" s="9" t="s">
        <v>3550</v>
      </c>
      <c r="P909" s="18"/>
      <c r="S909" s="9" t="s">
        <v>3000</v>
      </c>
      <c r="U909" s="5" t="s">
        <v>3000</v>
      </c>
    </row>
    <row r="910" spans="1:21" x14ac:dyDescent="0.2">
      <c r="A910" s="3">
        <v>909</v>
      </c>
      <c r="B910" s="5" t="s">
        <v>1560</v>
      </c>
      <c r="C910" s="5" t="s">
        <v>1170</v>
      </c>
      <c r="I910" s="11" t="s">
        <v>933</v>
      </c>
      <c r="K910" s="18"/>
      <c r="N910" s="9" t="s">
        <v>943</v>
      </c>
      <c r="P910" s="18"/>
      <c r="U910" s="5" t="s">
        <v>1713</v>
      </c>
    </row>
    <row r="911" spans="1:21" x14ac:dyDescent="0.2">
      <c r="A911" s="3">
        <v>910</v>
      </c>
      <c r="B911" s="5" t="s">
        <v>1561</v>
      </c>
      <c r="C911" s="5" t="s">
        <v>1170</v>
      </c>
      <c r="I911" s="11" t="s">
        <v>934</v>
      </c>
      <c r="K911" s="18"/>
      <c r="N911" s="9" t="s">
        <v>3550</v>
      </c>
      <c r="P911" s="18"/>
      <c r="S911" s="9" t="s">
        <v>3001</v>
      </c>
      <c r="U911" s="5" t="s">
        <v>3001</v>
      </c>
    </row>
    <row r="912" spans="1:21" x14ac:dyDescent="0.2">
      <c r="A912" s="3">
        <v>911</v>
      </c>
      <c r="B912" s="5" t="s">
        <v>1562</v>
      </c>
      <c r="C912" s="5" t="s">
        <v>1170</v>
      </c>
      <c r="D912" s="5" t="s">
        <v>1223</v>
      </c>
      <c r="I912" s="11" t="s">
        <v>935</v>
      </c>
      <c r="K912" s="18"/>
      <c r="N912" s="9" t="s">
        <v>3550</v>
      </c>
      <c r="P912" s="18"/>
      <c r="S912" s="9" t="s">
        <v>3002</v>
      </c>
      <c r="U912" s="5" t="s">
        <v>3002</v>
      </c>
    </row>
    <row r="913" spans="1:21" x14ac:dyDescent="0.2">
      <c r="A913" s="3">
        <v>912</v>
      </c>
      <c r="B913" s="5" t="s">
        <v>1563</v>
      </c>
      <c r="C913" s="5" t="s">
        <v>1172</v>
      </c>
      <c r="I913" s="11" t="s">
        <v>936</v>
      </c>
      <c r="K913" s="18"/>
      <c r="N913" s="9" t="s">
        <v>943</v>
      </c>
      <c r="P913" s="18"/>
      <c r="U913" s="5" t="s">
        <v>1713</v>
      </c>
    </row>
    <row r="914" spans="1:21" x14ac:dyDescent="0.2">
      <c r="A914" s="3">
        <v>913</v>
      </c>
      <c r="B914" s="5" t="s">
        <v>1564</v>
      </c>
      <c r="C914" s="5" t="s">
        <v>1172</v>
      </c>
      <c r="I914" s="11" t="s">
        <v>937</v>
      </c>
      <c r="K914" s="18"/>
      <c r="N914" s="9" t="s">
        <v>3550</v>
      </c>
      <c r="P914" s="18"/>
      <c r="S914" s="9" t="s">
        <v>3003</v>
      </c>
      <c r="U914" s="5" t="s">
        <v>3003</v>
      </c>
    </row>
    <row r="915" spans="1:21" x14ac:dyDescent="0.2">
      <c r="A915" s="3">
        <v>914</v>
      </c>
      <c r="B915" s="5" t="s">
        <v>1565</v>
      </c>
      <c r="C915" s="5" t="s">
        <v>1172</v>
      </c>
      <c r="D915" s="5" t="s">
        <v>1201</v>
      </c>
      <c r="I915" s="11" t="s">
        <v>538</v>
      </c>
      <c r="K915" s="18"/>
      <c r="N915" s="9" t="s">
        <v>3550</v>
      </c>
      <c r="P915" s="18"/>
      <c r="S915" s="9" t="s">
        <v>3004</v>
      </c>
      <c r="U915" s="5" t="s">
        <v>3004</v>
      </c>
    </row>
    <row r="916" spans="1:21" x14ac:dyDescent="0.2">
      <c r="A916" s="3">
        <v>915</v>
      </c>
      <c r="B916" s="5" t="s">
        <v>1566</v>
      </c>
      <c r="C916" s="5" t="s">
        <v>1174</v>
      </c>
      <c r="I916" s="11" t="s">
        <v>539</v>
      </c>
      <c r="K916" s="18"/>
      <c r="N916" s="9" t="s">
        <v>3105</v>
      </c>
      <c r="P916" s="18"/>
      <c r="U916" s="5" t="s">
        <v>1713</v>
      </c>
    </row>
    <row r="917" spans="1:21" x14ac:dyDescent="0.2">
      <c r="A917" s="3">
        <v>916</v>
      </c>
      <c r="B917" s="5" t="s">
        <v>1567</v>
      </c>
      <c r="C917" s="5" t="s">
        <v>1174</v>
      </c>
      <c r="I917" s="24" t="s">
        <v>540</v>
      </c>
      <c r="K917" s="18"/>
      <c r="N917" s="9" t="s">
        <v>3106</v>
      </c>
      <c r="P917" s="18"/>
      <c r="S917" s="9" t="s">
        <v>3005</v>
      </c>
      <c r="U917" s="5" t="s">
        <v>3005</v>
      </c>
    </row>
    <row r="918" spans="1:21" x14ac:dyDescent="0.2">
      <c r="A918" s="3">
        <v>917</v>
      </c>
      <c r="B918" s="5" t="s">
        <v>1568</v>
      </c>
      <c r="C918" s="5" t="s">
        <v>1173</v>
      </c>
      <c r="I918" s="11" t="s">
        <v>541</v>
      </c>
      <c r="K918" s="18"/>
      <c r="N918" s="9" t="s">
        <v>3105</v>
      </c>
      <c r="P918" s="18"/>
      <c r="U918" s="5" t="s">
        <v>1713</v>
      </c>
    </row>
    <row r="919" spans="1:21" x14ac:dyDescent="0.2">
      <c r="A919" s="3">
        <v>918</v>
      </c>
      <c r="B919" s="5" t="s">
        <v>1569</v>
      </c>
      <c r="C919" s="5" t="s">
        <v>1173</v>
      </c>
      <c r="I919" s="11" t="s">
        <v>542</v>
      </c>
      <c r="K919" s="18"/>
      <c r="N919" s="9" t="s">
        <v>3107</v>
      </c>
      <c r="P919" s="18"/>
      <c r="S919" s="9" t="s">
        <v>3006</v>
      </c>
      <c r="U919" s="5" t="s">
        <v>3006</v>
      </c>
    </row>
    <row r="920" spans="1:21" x14ac:dyDescent="0.2">
      <c r="A920" s="3">
        <v>919</v>
      </c>
      <c r="B920" s="5" t="s">
        <v>1570</v>
      </c>
      <c r="C920" s="5" t="s">
        <v>1173</v>
      </c>
      <c r="I920" s="11" t="s">
        <v>543</v>
      </c>
      <c r="K920" s="18"/>
      <c r="N920" s="9" t="s">
        <v>3108</v>
      </c>
      <c r="P920" s="18"/>
      <c r="U920" s="5" t="s">
        <v>1713</v>
      </c>
    </row>
    <row r="921" spans="1:21" x14ac:dyDescent="0.2">
      <c r="A921" s="3">
        <v>920</v>
      </c>
      <c r="B921" s="5" t="s">
        <v>1571</v>
      </c>
      <c r="C921" s="5" t="s">
        <v>1173</v>
      </c>
      <c r="D921" s="5" t="s">
        <v>1270</v>
      </c>
      <c r="I921" s="11" t="s">
        <v>544</v>
      </c>
      <c r="K921" s="18"/>
      <c r="N921" s="9" t="s">
        <v>3109</v>
      </c>
      <c r="P921" s="18"/>
      <c r="S921" s="9" t="s">
        <v>3007</v>
      </c>
      <c r="U921" s="5" t="s">
        <v>3007</v>
      </c>
    </row>
    <row r="922" spans="1:21" x14ac:dyDescent="0.2">
      <c r="A922" s="3">
        <v>921</v>
      </c>
      <c r="B922" s="5" t="s">
        <v>1572</v>
      </c>
      <c r="C922" s="5" t="s">
        <v>1179</v>
      </c>
      <c r="I922" s="11" t="s">
        <v>551</v>
      </c>
      <c r="K922" s="18"/>
      <c r="N922" s="9" t="s">
        <v>3116</v>
      </c>
      <c r="P922" s="18"/>
      <c r="U922" s="5" t="s">
        <v>1713</v>
      </c>
    </row>
    <row r="923" spans="1:21" x14ac:dyDescent="0.2">
      <c r="A923" s="3">
        <v>922</v>
      </c>
      <c r="B923" s="5" t="s">
        <v>1573</v>
      </c>
      <c r="C923" s="5" t="s">
        <v>1179</v>
      </c>
      <c r="D923" s="5" t="s">
        <v>1201</v>
      </c>
      <c r="I923" s="11" t="s">
        <v>552</v>
      </c>
      <c r="K923" s="18"/>
      <c r="N923" s="9" t="s">
        <v>3117</v>
      </c>
      <c r="P923" s="18"/>
      <c r="S923" s="9" t="s">
        <v>3035</v>
      </c>
      <c r="U923" s="5" t="s">
        <v>3035</v>
      </c>
    </row>
    <row r="924" spans="1:21" x14ac:dyDescent="0.2">
      <c r="A924" s="3">
        <v>923</v>
      </c>
      <c r="B924" s="5" t="s">
        <v>1574</v>
      </c>
      <c r="C924" s="5" t="s">
        <v>1179</v>
      </c>
      <c r="D924" s="5" t="s">
        <v>1201</v>
      </c>
      <c r="I924" s="11" t="s">
        <v>553</v>
      </c>
      <c r="K924" s="18"/>
      <c r="N924" s="9" t="s">
        <v>3550</v>
      </c>
      <c r="P924" s="18"/>
      <c r="S924" s="9" t="s">
        <v>3036</v>
      </c>
      <c r="U924" s="5" t="s">
        <v>3036</v>
      </c>
    </row>
    <row r="925" spans="1:21" x14ac:dyDescent="0.2">
      <c r="A925" s="3">
        <v>924</v>
      </c>
      <c r="B925" s="5" t="s">
        <v>1575</v>
      </c>
      <c r="C925" s="5" t="s">
        <v>1174</v>
      </c>
      <c r="I925" s="11" t="s">
        <v>600</v>
      </c>
      <c r="K925" s="18"/>
      <c r="N925" s="9" t="s">
        <v>3159</v>
      </c>
      <c r="P925" s="18"/>
      <c r="U925" s="5" t="s">
        <v>1713</v>
      </c>
    </row>
    <row r="926" spans="1:21" x14ac:dyDescent="0.2">
      <c r="A926" s="3">
        <v>925</v>
      </c>
      <c r="B926" s="5" t="s">
        <v>1576</v>
      </c>
      <c r="C926" s="5" t="s">
        <v>1174</v>
      </c>
      <c r="I926" s="24" t="s">
        <v>601</v>
      </c>
      <c r="K926" s="18"/>
      <c r="N926" s="9" t="s">
        <v>3550</v>
      </c>
      <c r="P926" s="18"/>
      <c r="S926" s="9" t="s">
        <v>3051</v>
      </c>
      <c r="U926" s="5" t="s">
        <v>3051</v>
      </c>
    </row>
    <row r="927" spans="1:21" x14ac:dyDescent="0.2">
      <c r="A927" s="3">
        <v>926</v>
      </c>
      <c r="B927" s="5" t="s">
        <v>1577</v>
      </c>
      <c r="C927" s="5" t="s">
        <v>1189</v>
      </c>
      <c r="I927" s="11" t="s">
        <v>605</v>
      </c>
      <c r="K927" s="18"/>
      <c r="N927" s="9" t="s">
        <v>3148</v>
      </c>
      <c r="P927" s="18"/>
      <c r="U927" s="5" t="s">
        <v>1713</v>
      </c>
    </row>
    <row r="928" spans="1:21" x14ac:dyDescent="0.2">
      <c r="A928" s="3">
        <v>927</v>
      </c>
      <c r="B928" s="5" t="s">
        <v>1578</v>
      </c>
      <c r="C928" s="5" t="s">
        <v>1189</v>
      </c>
      <c r="I928" s="11" t="s">
        <v>606</v>
      </c>
      <c r="K928" s="18"/>
      <c r="N928" s="9" t="s">
        <v>3148</v>
      </c>
      <c r="P928" s="18"/>
      <c r="S928" s="9" t="s">
        <v>3052</v>
      </c>
      <c r="U928" s="5" t="s">
        <v>3052</v>
      </c>
    </row>
    <row r="929" spans="1:21" x14ac:dyDescent="0.2">
      <c r="A929" s="3">
        <v>928</v>
      </c>
      <c r="B929" s="5" t="s">
        <v>1579</v>
      </c>
      <c r="C929" s="5" t="s">
        <v>1168</v>
      </c>
      <c r="D929" s="5" t="s">
        <v>1174</v>
      </c>
      <c r="I929" s="11" t="s">
        <v>613</v>
      </c>
      <c r="K929" s="18"/>
      <c r="N929" s="9" t="s">
        <v>3125</v>
      </c>
      <c r="P929" s="18"/>
      <c r="U929" s="5" t="s">
        <v>1713</v>
      </c>
    </row>
    <row r="930" spans="1:21" x14ac:dyDescent="0.2">
      <c r="A930" s="3">
        <v>929</v>
      </c>
      <c r="B930" s="5" t="s">
        <v>1580</v>
      </c>
      <c r="C930" s="5" t="s">
        <v>1168</v>
      </c>
      <c r="D930" s="5" t="s">
        <v>1174</v>
      </c>
      <c r="I930" s="11" t="s">
        <v>614</v>
      </c>
      <c r="K930" s="18"/>
      <c r="N930" s="9" t="s">
        <v>3168</v>
      </c>
      <c r="P930" s="18"/>
      <c r="S930" s="9" t="s">
        <v>3055</v>
      </c>
      <c r="U930" s="5" t="s">
        <v>3055</v>
      </c>
    </row>
    <row r="931" spans="1:21" x14ac:dyDescent="0.2">
      <c r="A931" s="3">
        <v>930</v>
      </c>
      <c r="B931" s="5" t="s">
        <v>1581</v>
      </c>
      <c r="C931" s="5" t="s">
        <v>1168</v>
      </c>
      <c r="D931" s="5" t="s">
        <v>1174</v>
      </c>
      <c r="I931" s="11" t="s">
        <v>615</v>
      </c>
      <c r="K931" s="18"/>
      <c r="N931" s="9" t="s">
        <v>3550</v>
      </c>
      <c r="P931" s="18"/>
      <c r="S931" s="9" t="s">
        <v>3056</v>
      </c>
      <c r="U931" s="5" t="s">
        <v>3056</v>
      </c>
    </row>
    <row r="932" spans="1:21" x14ac:dyDescent="0.2">
      <c r="A932" s="3">
        <v>931</v>
      </c>
      <c r="B932" s="5" t="s">
        <v>1582</v>
      </c>
      <c r="C932" s="5" t="s">
        <v>1174</v>
      </c>
      <c r="D932" s="5" t="s">
        <v>1171</v>
      </c>
      <c r="I932" s="24" t="s">
        <v>642</v>
      </c>
      <c r="K932" s="18"/>
      <c r="N932" s="9" t="s">
        <v>3190</v>
      </c>
      <c r="P932" s="18"/>
      <c r="U932" s="5" t="s">
        <v>1713</v>
      </c>
    </row>
    <row r="933" spans="1:21" x14ac:dyDescent="0.2">
      <c r="A933" s="3">
        <v>932</v>
      </c>
      <c r="B933" s="5" t="s">
        <v>1583</v>
      </c>
      <c r="C933" s="5" t="s">
        <v>1210</v>
      </c>
      <c r="I933" s="11" t="s">
        <v>658</v>
      </c>
      <c r="K933" s="18"/>
      <c r="N933" s="9" t="s">
        <v>3202</v>
      </c>
      <c r="P933" s="18"/>
      <c r="U933" s="5" t="s">
        <v>1713</v>
      </c>
    </row>
    <row r="934" spans="1:21" x14ac:dyDescent="0.2">
      <c r="A934" s="3">
        <v>933</v>
      </c>
      <c r="B934" s="5" t="s">
        <v>1584</v>
      </c>
      <c r="C934" s="5" t="s">
        <v>1210</v>
      </c>
      <c r="I934" s="11" t="s">
        <v>659</v>
      </c>
      <c r="K934" s="18"/>
      <c r="N934" s="9" t="s">
        <v>3203</v>
      </c>
      <c r="P934" s="18"/>
      <c r="S934" s="9" t="s">
        <v>3068</v>
      </c>
      <c r="U934" s="5" t="s">
        <v>3068</v>
      </c>
    </row>
    <row r="935" spans="1:21" x14ac:dyDescent="0.2">
      <c r="A935" s="3">
        <v>934</v>
      </c>
      <c r="B935" s="5" t="s">
        <v>1585</v>
      </c>
      <c r="C935" s="5" t="s">
        <v>1210</v>
      </c>
      <c r="I935" s="11" t="s">
        <v>660</v>
      </c>
      <c r="K935" s="18"/>
      <c r="N935" s="9" t="s">
        <v>3204</v>
      </c>
      <c r="P935" s="18"/>
      <c r="S935" s="9" t="s">
        <v>3069</v>
      </c>
      <c r="U935" s="5" t="s">
        <v>3069</v>
      </c>
    </row>
    <row r="936" spans="1:21" x14ac:dyDescent="0.2">
      <c r="A936" s="3">
        <v>935</v>
      </c>
      <c r="B936" s="5" t="s">
        <v>1586</v>
      </c>
      <c r="C936" s="5" t="s">
        <v>1170</v>
      </c>
      <c r="I936" s="11" t="s">
        <v>694</v>
      </c>
      <c r="K936" s="18"/>
      <c r="N936" s="9" t="s">
        <v>3233</v>
      </c>
      <c r="P936" s="18"/>
      <c r="U936" s="5" t="s">
        <v>1713</v>
      </c>
    </row>
    <row r="937" spans="1:21" x14ac:dyDescent="0.2">
      <c r="A937" s="3">
        <v>936</v>
      </c>
      <c r="B937" s="5" t="s">
        <v>1587</v>
      </c>
      <c r="C937" s="5" t="s">
        <v>1170</v>
      </c>
      <c r="D937" s="5" t="s">
        <v>1206</v>
      </c>
      <c r="I937" s="11" t="s">
        <v>695</v>
      </c>
      <c r="K937" s="18"/>
      <c r="N937" s="9" t="s">
        <v>3103</v>
      </c>
      <c r="P937" s="18"/>
      <c r="S937" s="9" t="s">
        <v>3070</v>
      </c>
      <c r="U937" s="5" t="s">
        <v>3070</v>
      </c>
    </row>
    <row r="938" spans="1:21" x14ac:dyDescent="0.2">
      <c r="A938" s="3">
        <v>937</v>
      </c>
      <c r="B938" s="5" t="s">
        <v>1588</v>
      </c>
      <c r="C938" s="5" t="s">
        <v>1170</v>
      </c>
      <c r="D938" s="5" t="s">
        <v>1223</v>
      </c>
      <c r="I938" s="11" t="s">
        <v>696</v>
      </c>
      <c r="K938" s="18"/>
      <c r="N938" s="9" t="s">
        <v>3104</v>
      </c>
      <c r="P938" s="18"/>
      <c r="S938" s="9" t="s">
        <v>3071</v>
      </c>
      <c r="U938" s="5" t="s">
        <v>3071</v>
      </c>
    </row>
    <row r="939" spans="1:21" x14ac:dyDescent="0.2">
      <c r="A939" s="3">
        <v>938</v>
      </c>
      <c r="B939" s="5" t="s">
        <v>1589</v>
      </c>
      <c r="C939" s="5" t="s">
        <v>1179</v>
      </c>
      <c r="I939" s="11" t="s">
        <v>699</v>
      </c>
      <c r="K939" s="18"/>
      <c r="N939" s="9" t="s">
        <v>3236</v>
      </c>
      <c r="P939" s="18"/>
      <c r="U939" s="5" t="s">
        <v>1713</v>
      </c>
    </row>
    <row r="940" spans="1:21" x14ac:dyDescent="0.2">
      <c r="A940" s="3">
        <v>939</v>
      </c>
      <c r="B940" s="5" t="s">
        <v>1590</v>
      </c>
      <c r="C940" s="5" t="s">
        <v>1179</v>
      </c>
      <c r="I940" s="11" t="s">
        <v>700</v>
      </c>
      <c r="K940" s="18"/>
      <c r="N940" s="9" t="s">
        <v>3237</v>
      </c>
      <c r="P940" s="18"/>
      <c r="S940" s="9" t="s">
        <v>3072</v>
      </c>
      <c r="U940" s="5" t="s">
        <v>3072</v>
      </c>
    </row>
    <row r="941" spans="1:21" x14ac:dyDescent="0.2">
      <c r="A941" s="3">
        <v>940</v>
      </c>
      <c r="B941" s="5" t="s">
        <v>1591</v>
      </c>
      <c r="C941" s="5" t="s">
        <v>1179</v>
      </c>
      <c r="D941" s="5" t="s">
        <v>1171</v>
      </c>
      <c r="I941" s="11" t="s">
        <v>706</v>
      </c>
      <c r="K941" s="18"/>
      <c r="N941" s="9" t="s">
        <v>3207</v>
      </c>
      <c r="P941" s="18"/>
      <c r="U941" s="5" t="s">
        <v>1713</v>
      </c>
    </row>
    <row r="942" spans="1:21" x14ac:dyDescent="0.2">
      <c r="A942" s="3">
        <v>941</v>
      </c>
      <c r="B942" s="5" t="s">
        <v>1592</v>
      </c>
      <c r="C942" s="5" t="s">
        <v>1179</v>
      </c>
      <c r="D942" s="5" t="s">
        <v>1171</v>
      </c>
      <c r="I942" s="11" t="s">
        <v>707</v>
      </c>
      <c r="K942" s="18"/>
      <c r="N942" s="9" t="s">
        <v>3206</v>
      </c>
      <c r="P942" s="18"/>
      <c r="S942" s="9" t="s">
        <v>3073</v>
      </c>
      <c r="U942" s="5" t="s">
        <v>3073</v>
      </c>
    </row>
    <row r="943" spans="1:21" x14ac:dyDescent="0.2">
      <c r="A943" s="3">
        <v>942</v>
      </c>
      <c r="B943" s="5" t="s">
        <v>1593</v>
      </c>
      <c r="C943" s="5" t="s">
        <v>1270</v>
      </c>
      <c r="I943" s="11" t="s">
        <v>725</v>
      </c>
      <c r="K943" s="18"/>
      <c r="N943" s="9" t="s">
        <v>3254</v>
      </c>
      <c r="P943" s="18"/>
      <c r="U943" s="5" t="s">
        <v>1713</v>
      </c>
    </row>
    <row r="944" spans="1:21" x14ac:dyDescent="0.2">
      <c r="A944" s="3">
        <v>943</v>
      </c>
      <c r="B944" s="5" t="s">
        <v>1594</v>
      </c>
      <c r="C944" s="5" t="s">
        <v>1270</v>
      </c>
      <c r="I944" s="11" t="s">
        <v>726</v>
      </c>
      <c r="K944" s="18"/>
      <c r="N944" s="9" t="s">
        <v>3255</v>
      </c>
      <c r="P944" s="18"/>
      <c r="S944" s="9" t="s">
        <v>3076</v>
      </c>
      <c r="U944" s="5" t="s">
        <v>3076</v>
      </c>
    </row>
    <row r="945" spans="1:21" x14ac:dyDescent="0.2">
      <c r="A945" s="3">
        <v>944</v>
      </c>
      <c r="B945" s="5" t="s">
        <v>1595</v>
      </c>
      <c r="C945" s="5" t="s">
        <v>1169</v>
      </c>
      <c r="D945" s="5" t="s">
        <v>1174</v>
      </c>
      <c r="I945" s="11" t="s">
        <v>731</v>
      </c>
      <c r="K945" s="18"/>
      <c r="N945" s="9" t="s">
        <v>3260</v>
      </c>
      <c r="P945" s="18"/>
      <c r="U945" s="5" t="s">
        <v>1713</v>
      </c>
    </row>
    <row r="946" spans="1:21" x14ac:dyDescent="0.2">
      <c r="A946" s="3">
        <v>945</v>
      </c>
      <c r="B946" s="5" t="s">
        <v>1596</v>
      </c>
      <c r="C946" s="5" t="s">
        <v>1169</v>
      </c>
      <c r="D946" s="5" t="s">
        <v>1174</v>
      </c>
      <c r="I946" s="11" t="s">
        <v>732</v>
      </c>
      <c r="K946" s="18"/>
      <c r="N946" s="9" t="s">
        <v>3260</v>
      </c>
      <c r="P946" s="18"/>
      <c r="S946" s="9" t="s">
        <v>3077</v>
      </c>
      <c r="U946" s="5" t="s">
        <v>3077</v>
      </c>
    </row>
    <row r="947" spans="1:21" x14ac:dyDescent="0.2">
      <c r="A947" s="3">
        <v>946</v>
      </c>
      <c r="B947" s="5" t="s">
        <v>1597</v>
      </c>
      <c r="C947" s="5" t="s">
        <v>1168</v>
      </c>
      <c r="D947" s="5" t="s">
        <v>1223</v>
      </c>
      <c r="I947" s="11" t="s">
        <v>771</v>
      </c>
      <c r="K947" s="18"/>
      <c r="N947" s="9" t="s">
        <v>3289</v>
      </c>
      <c r="P947" s="18"/>
      <c r="U947" s="5" t="s">
        <v>1713</v>
      </c>
    </row>
    <row r="948" spans="1:21" x14ac:dyDescent="0.2">
      <c r="A948" s="3">
        <v>947</v>
      </c>
      <c r="B948" s="5" t="s">
        <v>1598</v>
      </c>
      <c r="C948" s="5" t="s">
        <v>1168</v>
      </c>
      <c r="D948" s="5" t="s">
        <v>1223</v>
      </c>
      <c r="I948" s="11" t="s">
        <v>772</v>
      </c>
      <c r="K948" s="18"/>
      <c r="N948" s="9" t="s">
        <v>3290</v>
      </c>
      <c r="P948" s="18"/>
      <c r="S948" s="9" t="s">
        <v>3010</v>
      </c>
      <c r="U948" s="5" t="s">
        <v>3010</v>
      </c>
    </row>
    <row r="949" spans="1:21" x14ac:dyDescent="0.2">
      <c r="A949" s="3">
        <v>948</v>
      </c>
      <c r="B949" s="5" t="s">
        <v>1599</v>
      </c>
      <c r="C949" s="5" t="s">
        <v>1181</v>
      </c>
      <c r="D949" s="5" t="s">
        <v>1168</v>
      </c>
      <c r="I949" s="11" t="s">
        <v>773</v>
      </c>
      <c r="K949" s="18"/>
      <c r="N949" s="9" t="s">
        <v>3291</v>
      </c>
      <c r="P949" s="18"/>
      <c r="U949" s="5" t="s">
        <v>1713</v>
      </c>
    </row>
    <row r="950" spans="1:21" x14ac:dyDescent="0.2">
      <c r="A950" s="3">
        <v>949</v>
      </c>
      <c r="B950" s="5" t="s">
        <v>1600</v>
      </c>
      <c r="C950" s="5" t="s">
        <v>1181</v>
      </c>
      <c r="D950" s="5" t="s">
        <v>1168</v>
      </c>
      <c r="I950" s="11" t="s">
        <v>774</v>
      </c>
      <c r="K950" s="18"/>
      <c r="N950" s="9" t="s">
        <v>3165</v>
      </c>
      <c r="P950" s="18"/>
      <c r="S950" s="9" t="s">
        <v>3079</v>
      </c>
      <c r="U950" s="5" t="s">
        <v>3079</v>
      </c>
    </row>
    <row r="951" spans="1:21" x14ac:dyDescent="0.2">
      <c r="A951" s="3">
        <v>950</v>
      </c>
      <c r="B951" s="5" t="s">
        <v>1601</v>
      </c>
      <c r="C951" s="5" t="s">
        <v>1210</v>
      </c>
      <c r="I951" s="11" t="s">
        <v>778</v>
      </c>
      <c r="K951" s="18"/>
      <c r="N951" s="9" t="s">
        <v>3173</v>
      </c>
      <c r="P951" s="18"/>
      <c r="U951" s="5" t="s">
        <v>1713</v>
      </c>
    </row>
    <row r="952" spans="1:21" x14ac:dyDescent="0.2">
      <c r="A952" s="3">
        <v>951</v>
      </c>
      <c r="B952" s="5" t="s">
        <v>1602</v>
      </c>
      <c r="C952" s="5" t="s">
        <v>1168</v>
      </c>
      <c r="I952" s="11" t="s">
        <v>779</v>
      </c>
      <c r="K952" s="18"/>
      <c r="N952" s="9" t="s">
        <v>3289</v>
      </c>
      <c r="P952" s="18"/>
      <c r="U952" s="5" t="s">
        <v>1713</v>
      </c>
    </row>
    <row r="953" spans="1:21" x14ac:dyDescent="0.2">
      <c r="A953" s="3">
        <v>952</v>
      </c>
      <c r="B953" s="5" t="s">
        <v>1603</v>
      </c>
      <c r="C953" s="5" t="s">
        <v>1168</v>
      </c>
      <c r="D953" s="5" t="s">
        <v>1170</v>
      </c>
      <c r="I953" s="11" t="s">
        <v>780</v>
      </c>
      <c r="K953" s="18"/>
      <c r="N953" s="9" t="s">
        <v>3293</v>
      </c>
      <c r="P953" s="18"/>
      <c r="S953" s="9" t="s">
        <v>3024</v>
      </c>
      <c r="U953" s="5" t="s">
        <v>3024</v>
      </c>
    </row>
    <row r="954" spans="1:21" x14ac:dyDescent="0.2">
      <c r="A954" s="3">
        <v>953</v>
      </c>
      <c r="B954" s="5" t="s">
        <v>1604</v>
      </c>
      <c r="C954" s="5" t="s">
        <v>1173</v>
      </c>
      <c r="I954" s="11" t="s">
        <v>783</v>
      </c>
      <c r="K954" s="18"/>
      <c r="N954" s="9" t="s">
        <v>3289</v>
      </c>
      <c r="P954" s="18"/>
      <c r="U954" s="5" t="s">
        <v>1713</v>
      </c>
    </row>
    <row r="955" spans="1:21" x14ac:dyDescent="0.2">
      <c r="A955" s="3">
        <v>954</v>
      </c>
      <c r="B955" s="5" t="s">
        <v>1605</v>
      </c>
      <c r="C955" s="5" t="s">
        <v>1173</v>
      </c>
      <c r="D955" s="5" t="s">
        <v>1206</v>
      </c>
      <c r="I955" s="11" t="s">
        <v>784</v>
      </c>
      <c r="K955" s="18"/>
      <c r="N955" s="9" t="s">
        <v>3295</v>
      </c>
      <c r="P955" s="18"/>
      <c r="S955" s="9" t="s">
        <v>3081</v>
      </c>
      <c r="U955" s="5" t="s">
        <v>3081</v>
      </c>
    </row>
    <row r="956" spans="1:21" x14ac:dyDescent="0.2">
      <c r="A956" s="3">
        <v>955</v>
      </c>
      <c r="B956" s="5" t="s">
        <v>1606</v>
      </c>
      <c r="C956" s="5" t="s">
        <v>1206</v>
      </c>
      <c r="I956" s="11" t="s">
        <v>792</v>
      </c>
      <c r="K956" s="18"/>
      <c r="N956" s="9" t="s">
        <v>3289</v>
      </c>
      <c r="P956" s="18"/>
      <c r="U956" s="5" t="s">
        <v>1713</v>
      </c>
    </row>
    <row r="957" spans="1:21" x14ac:dyDescent="0.2">
      <c r="A957" s="3">
        <v>956</v>
      </c>
      <c r="B957" s="5" t="s">
        <v>1607</v>
      </c>
      <c r="C957" s="5" t="s">
        <v>1206</v>
      </c>
      <c r="I957" s="11" t="s">
        <v>793</v>
      </c>
      <c r="K957" s="18"/>
      <c r="N957" s="9" t="s">
        <v>3299</v>
      </c>
      <c r="P957" s="18"/>
      <c r="S957" s="9" t="s">
        <v>3084</v>
      </c>
      <c r="U957" s="5" t="s">
        <v>3084</v>
      </c>
    </row>
    <row r="958" spans="1:21" x14ac:dyDescent="0.2">
      <c r="A958" s="3">
        <v>957</v>
      </c>
      <c r="B958" s="5" t="s">
        <v>1608</v>
      </c>
      <c r="C958" s="5" t="s">
        <v>1189</v>
      </c>
      <c r="D958" s="5" t="s">
        <v>1214</v>
      </c>
      <c r="I958" s="11" t="s">
        <v>808</v>
      </c>
      <c r="K958" s="18"/>
      <c r="N958" s="9" t="s">
        <v>3305</v>
      </c>
      <c r="P958" s="18"/>
      <c r="U958" s="5" t="s">
        <v>1713</v>
      </c>
    </row>
    <row r="959" spans="1:21" x14ac:dyDescent="0.2">
      <c r="A959" s="3">
        <v>958</v>
      </c>
      <c r="B959" s="5" t="s">
        <v>1609</v>
      </c>
      <c r="C959" s="5" t="s">
        <v>1189</v>
      </c>
      <c r="D959" s="5" t="s">
        <v>1214</v>
      </c>
      <c r="I959" s="11" t="s">
        <v>809</v>
      </c>
      <c r="K959" s="18"/>
      <c r="N959" s="9" t="s">
        <v>3306</v>
      </c>
      <c r="P959" s="18"/>
      <c r="S959" s="9" t="s">
        <v>3088</v>
      </c>
      <c r="U959" s="5" t="s">
        <v>3088</v>
      </c>
    </row>
    <row r="960" spans="1:21" x14ac:dyDescent="0.2">
      <c r="A960" s="3">
        <v>959</v>
      </c>
      <c r="B960" s="5" t="s">
        <v>1610</v>
      </c>
      <c r="C960" s="5" t="s">
        <v>1189</v>
      </c>
      <c r="D960" s="5" t="s">
        <v>1214</v>
      </c>
      <c r="I960" s="11" t="s">
        <v>810</v>
      </c>
      <c r="K960" s="18"/>
      <c r="N960" s="9" t="s">
        <v>3550</v>
      </c>
      <c r="P960" s="18"/>
      <c r="S960" s="9" t="s">
        <v>3089</v>
      </c>
      <c r="U960" s="5" t="s">
        <v>3089</v>
      </c>
    </row>
    <row r="961" spans="1:21" x14ac:dyDescent="0.2">
      <c r="A961" s="3">
        <v>960</v>
      </c>
      <c r="B961" s="5" t="s">
        <v>1611</v>
      </c>
      <c r="C961" s="5" t="s">
        <v>1172</v>
      </c>
      <c r="I961" s="11" t="s">
        <v>817</v>
      </c>
      <c r="K961" s="18"/>
      <c r="N961" s="9" t="s">
        <v>3310</v>
      </c>
      <c r="P961" s="18"/>
      <c r="U961" s="5" t="s">
        <v>1713</v>
      </c>
    </row>
    <row r="962" spans="1:21" x14ac:dyDescent="0.2">
      <c r="A962" s="3">
        <v>961</v>
      </c>
      <c r="B962" s="5" t="s">
        <v>1612</v>
      </c>
      <c r="C962" s="5" t="s">
        <v>1172</v>
      </c>
      <c r="I962" s="11" t="s">
        <v>818</v>
      </c>
      <c r="K962" s="18"/>
      <c r="N962" s="9" t="s">
        <v>3311</v>
      </c>
      <c r="P962" s="18"/>
      <c r="S962" s="9" t="s">
        <v>3090</v>
      </c>
      <c r="U962" s="5" t="s">
        <v>3090</v>
      </c>
    </row>
    <row r="963" spans="1:21" x14ac:dyDescent="0.2">
      <c r="A963" s="3">
        <v>962</v>
      </c>
      <c r="B963" s="5" t="s">
        <v>1613</v>
      </c>
      <c r="C963" s="5" t="s">
        <v>1171</v>
      </c>
      <c r="D963" s="5" t="s">
        <v>1270</v>
      </c>
      <c r="I963" s="11" t="s">
        <v>819</v>
      </c>
      <c r="K963" s="18"/>
      <c r="N963" s="9" t="s">
        <v>3312</v>
      </c>
      <c r="P963" s="18"/>
      <c r="U963" s="5" t="s">
        <v>1713</v>
      </c>
    </row>
    <row r="964" spans="1:21" x14ac:dyDescent="0.2">
      <c r="A964" s="3">
        <v>963</v>
      </c>
      <c r="B964" s="5" t="s">
        <v>1614</v>
      </c>
      <c r="C964" s="5" t="s">
        <v>1172</v>
      </c>
      <c r="I964" s="11" t="s">
        <v>820</v>
      </c>
      <c r="K964" s="18"/>
      <c r="N964" s="9" t="s">
        <v>3142</v>
      </c>
      <c r="P964" s="18"/>
      <c r="U964" s="5" t="s">
        <v>1713</v>
      </c>
    </row>
    <row r="965" spans="1:21" x14ac:dyDescent="0.2">
      <c r="A965" s="3">
        <v>964</v>
      </c>
      <c r="B965" s="5" t="s">
        <v>1615</v>
      </c>
      <c r="C965" s="5" t="s">
        <v>1172</v>
      </c>
      <c r="I965" s="24" t="s">
        <v>821</v>
      </c>
      <c r="K965" s="18"/>
      <c r="N965" s="9" t="s">
        <v>3550</v>
      </c>
      <c r="P965" s="18"/>
      <c r="S965" s="9" t="s">
        <v>3091</v>
      </c>
      <c r="U965" s="5" t="s">
        <v>3091</v>
      </c>
    </row>
    <row r="966" spans="1:21" x14ac:dyDescent="0.2">
      <c r="A966" s="3">
        <v>965</v>
      </c>
      <c r="B966" s="5" t="s">
        <v>1616</v>
      </c>
      <c r="C966" s="5" t="s">
        <v>1214</v>
      </c>
      <c r="D966" s="5" t="s">
        <v>1169</v>
      </c>
      <c r="I966" s="11" t="s">
        <v>822</v>
      </c>
      <c r="K966" s="18"/>
      <c r="N966" s="9" t="s">
        <v>3313</v>
      </c>
      <c r="P966" s="18"/>
      <c r="U966" s="5" t="s">
        <v>1713</v>
      </c>
    </row>
    <row r="967" spans="1:21" x14ac:dyDescent="0.2">
      <c r="A967" s="3">
        <v>966</v>
      </c>
      <c r="B967" s="5" t="s">
        <v>1617</v>
      </c>
      <c r="C967" s="5" t="s">
        <v>1214</v>
      </c>
      <c r="D967" s="5" t="s">
        <v>1169</v>
      </c>
      <c r="I967" s="11" t="s">
        <v>823</v>
      </c>
      <c r="K967" s="18"/>
      <c r="N967" s="9" t="s">
        <v>3314</v>
      </c>
      <c r="P967" s="18"/>
      <c r="S967" s="9" t="s">
        <v>3019</v>
      </c>
      <c r="U967" s="5" t="s">
        <v>3019</v>
      </c>
    </row>
    <row r="968" spans="1:21" x14ac:dyDescent="0.2">
      <c r="A968" s="3">
        <v>967</v>
      </c>
      <c r="B968" s="5" t="s">
        <v>1618</v>
      </c>
      <c r="C968" s="5" t="s">
        <v>1249</v>
      </c>
      <c r="D968" s="5" t="s">
        <v>1174</v>
      </c>
      <c r="I968" s="11" t="s">
        <v>824</v>
      </c>
      <c r="K968" s="18"/>
      <c r="N968" s="9" t="s">
        <v>3315</v>
      </c>
      <c r="P968" s="18"/>
      <c r="U968" s="5" t="s">
        <v>1713</v>
      </c>
    </row>
    <row r="969" spans="1:21" x14ac:dyDescent="0.2">
      <c r="A969" s="3">
        <v>968</v>
      </c>
      <c r="B969" s="5" t="s">
        <v>1619</v>
      </c>
      <c r="C969" s="5" t="s">
        <v>1214</v>
      </c>
      <c r="I969" s="11" t="s">
        <v>825</v>
      </c>
      <c r="K969" s="18"/>
      <c r="N969" s="9" t="s">
        <v>3172</v>
      </c>
      <c r="P969" s="18"/>
      <c r="U969" s="5" t="s">
        <v>1713</v>
      </c>
    </row>
    <row r="970" spans="1:21" x14ac:dyDescent="0.2">
      <c r="A970" s="3">
        <v>969</v>
      </c>
      <c r="B970" s="5" t="s">
        <v>1620</v>
      </c>
      <c r="C970" s="5" t="s">
        <v>1210</v>
      </c>
      <c r="D970" s="5" t="s">
        <v>1169</v>
      </c>
      <c r="I970" s="11" t="s">
        <v>837</v>
      </c>
      <c r="K970" s="18"/>
      <c r="N970" s="9" t="s">
        <v>3156</v>
      </c>
      <c r="P970" s="18"/>
      <c r="U970" s="5" t="s">
        <v>1713</v>
      </c>
    </row>
    <row r="971" spans="1:21" x14ac:dyDescent="0.2">
      <c r="A971" s="3">
        <v>970</v>
      </c>
      <c r="B971" s="5" t="s">
        <v>1621</v>
      </c>
      <c r="C971" s="5" t="s">
        <v>1210</v>
      </c>
      <c r="D971" s="5" t="s">
        <v>1169</v>
      </c>
      <c r="I971" s="11" t="s">
        <v>838</v>
      </c>
      <c r="K971" s="18"/>
      <c r="N971" s="9" t="s">
        <v>3156</v>
      </c>
      <c r="P971" s="18"/>
      <c r="S971" s="9" t="s">
        <v>3092</v>
      </c>
      <c r="U971" s="5" t="s">
        <v>3092</v>
      </c>
    </row>
    <row r="972" spans="1:21" x14ac:dyDescent="0.2">
      <c r="A972" s="3">
        <v>971</v>
      </c>
      <c r="B972" s="5" t="s">
        <v>1622</v>
      </c>
      <c r="C972" s="5" t="s">
        <v>1223</v>
      </c>
      <c r="I972" s="11" t="s">
        <v>840</v>
      </c>
      <c r="K972" s="18"/>
      <c r="N972" s="9" t="s">
        <v>3326</v>
      </c>
      <c r="P972" s="18"/>
      <c r="U972" s="5" t="s">
        <v>1713</v>
      </c>
    </row>
    <row r="973" spans="1:21" x14ac:dyDescent="0.2">
      <c r="A973" s="3">
        <v>972</v>
      </c>
      <c r="B973" s="5" t="s">
        <v>1623</v>
      </c>
      <c r="C973" s="5" t="s">
        <v>1223</v>
      </c>
      <c r="I973" s="11" t="s">
        <v>841</v>
      </c>
      <c r="K973" s="18"/>
      <c r="N973" s="9" t="s">
        <v>3327</v>
      </c>
      <c r="P973" s="18"/>
      <c r="S973" s="9" t="s">
        <v>3093</v>
      </c>
      <c r="U973" s="5" t="s">
        <v>3093</v>
      </c>
    </row>
    <row r="974" spans="1:21" x14ac:dyDescent="0.2">
      <c r="A974" s="3">
        <v>973</v>
      </c>
      <c r="B974" s="5" t="s">
        <v>1624</v>
      </c>
      <c r="C974" s="5" t="s">
        <v>1171</v>
      </c>
      <c r="D974" s="5" t="s">
        <v>1201</v>
      </c>
      <c r="I974" s="11" t="s">
        <v>875</v>
      </c>
      <c r="K974" s="18"/>
      <c r="N974" s="9" t="s">
        <v>3352</v>
      </c>
      <c r="P974" s="18"/>
      <c r="U974" s="5" t="s">
        <v>1713</v>
      </c>
    </row>
    <row r="975" spans="1:21" x14ac:dyDescent="0.2">
      <c r="A975" s="3">
        <v>974</v>
      </c>
      <c r="B975" s="5" t="s">
        <v>1625</v>
      </c>
      <c r="C975" s="5" t="s">
        <v>1220</v>
      </c>
      <c r="I975" s="11" t="s">
        <v>890</v>
      </c>
      <c r="K975" s="18"/>
      <c r="N975" s="9" t="s">
        <v>3353</v>
      </c>
      <c r="P975" s="18"/>
      <c r="U975" s="5" t="s">
        <v>1713</v>
      </c>
    </row>
    <row r="976" spans="1:21" x14ac:dyDescent="0.2">
      <c r="A976" s="3">
        <v>975</v>
      </c>
      <c r="B976" s="5" t="s">
        <v>1626</v>
      </c>
      <c r="C976" s="5" t="s">
        <v>1220</v>
      </c>
      <c r="I976" s="11" t="s">
        <v>891</v>
      </c>
      <c r="K976" s="18"/>
      <c r="N976" s="9" t="s">
        <v>3195</v>
      </c>
      <c r="P976" s="18"/>
      <c r="S976" s="9" t="s">
        <v>3096</v>
      </c>
      <c r="U976" s="5" t="s">
        <v>3096</v>
      </c>
    </row>
    <row r="977" spans="1:21" x14ac:dyDescent="0.2">
      <c r="A977" s="3">
        <v>976</v>
      </c>
      <c r="B977" s="5" t="s">
        <v>1627</v>
      </c>
      <c r="C977" s="5" t="s">
        <v>1172</v>
      </c>
      <c r="D977" s="5" t="s">
        <v>1206</v>
      </c>
      <c r="I977" s="11" t="s">
        <v>902</v>
      </c>
      <c r="K977" s="18"/>
      <c r="N977" s="9" t="s">
        <v>3367</v>
      </c>
      <c r="P977" s="18"/>
      <c r="U977" s="5" t="s">
        <v>1713</v>
      </c>
    </row>
    <row r="978" spans="1:21" x14ac:dyDescent="0.2">
      <c r="A978" s="3">
        <v>977</v>
      </c>
      <c r="B978" s="5" t="s">
        <v>1628</v>
      </c>
      <c r="C978" s="5" t="s">
        <v>1172</v>
      </c>
      <c r="I978" s="11" t="s">
        <v>903</v>
      </c>
      <c r="K978" s="18"/>
      <c r="N978" s="9" t="s">
        <v>3147</v>
      </c>
      <c r="P978" s="18"/>
      <c r="U978" s="5" t="s">
        <v>1713</v>
      </c>
    </row>
    <row r="979" spans="1:21" x14ac:dyDescent="0.2">
      <c r="A979" s="3">
        <v>978</v>
      </c>
      <c r="B979" s="5" t="s">
        <v>1629</v>
      </c>
      <c r="C979" s="5" t="s">
        <v>1249</v>
      </c>
      <c r="D979" s="5" t="s">
        <v>1172</v>
      </c>
      <c r="I979" s="24" t="s">
        <v>904</v>
      </c>
      <c r="K979" s="18"/>
      <c r="N979" s="9" t="s">
        <v>3368</v>
      </c>
      <c r="P979" s="18"/>
      <c r="U979" s="5" t="s">
        <v>1713</v>
      </c>
    </row>
    <row r="980" spans="1:21" x14ac:dyDescent="0.2">
      <c r="A980" s="3">
        <v>979</v>
      </c>
      <c r="B980" s="5" t="s">
        <v>1630</v>
      </c>
      <c r="C980" s="5" t="s">
        <v>1201</v>
      </c>
      <c r="D980" s="5" t="s">
        <v>1223</v>
      </c>
      <c r="I980" s="11" t="s">
        <v>689</v>
      </c>
      <c r="K980" s="18"/>
      <c r="N980" s="9" t="s">
        <v>3550</v>
      </c>
      <c r="P980" s="18"/>
      <c r="S980" s="9" t="s">
        <v>3031</v>
      </c>
      <c r="U980" s="5" t="s">
        <v>3031</v>
      </c>
    </row>
    <row r="981" spans="1:21" x14ac:dyDescent="0.2">
      <c r="A981" s="3">
        <v>980</v>
      </c>
      <c r="B981" s="5" t="s">
        <v>1631</v>
      </c>
      <c r="C981" s="5" t="s">
        <v>1169</v>
      </c>
      <c r="D981" s="5" t="s">
        <v>1181</v>
      </c>
      <c r="I981" s="11" t="s">
        <v>583</v>
      </c>
      <c r="K981" s="18"/>
      <c r="N981" s="9" t="s">
        <v>3144</v>
      </c>
      <c r="P981" s="18"/>
      <c r="U981" s="5" t="s">
        <v>1713</v>
      </c>
    </row>
    <row r="982" spans="1:21" x14ac:dyDescent="0.2">
      <c r="A982" s="3">
        <v>981</v>
      </c>
      <c r="B982" s="5" t="s">
        <v>1632</v>
      </c>
      <c r="C982" s="5" t="s">
        <v>1174</v>
      </c>
      <c r="D982" s="5" t="s">
        <v>1206</v>
      </c>
      <c r="I982" s="11" t="s">
        <v>722</v>
      </c>
      <c r="K982" s="18"/>
      <c r="N982" s="9" t="s">
        <v>3251</v>
      </c>
      <c r="P982" s="18"/>
      <c r="S982" s="9" t="s">
        <v>3029</v>
      </c>
      <c r="U982" s="5" t="s">
        <v>3029</v>
      </c>
    </row>
    <row r="983" spans="1:21" x14ac:dyDescent="0.2">
      <c r="A983" s="3">
        <v>982</v>
      </c>
      <c r="B983" s="5" t="s">
        <v>1633</v>
      </c>
      <c r="C983" s="5" t="s">
        <v>1174</v>
      </c>
      <c r="I983" s="24" t="s">
        <v>718</v>
      </c>
      <c r="K983" s="18"/>
      <c r="N983" s="9" t="s">
        <v>3247</v>
      </c>
      <c r="P983" s="18"/>
      <c r="S983" s="9" t="s">
        <v>3074</v>
      </c>
      <c r="U983" s="5" t="s">
        <v>3074</v>
      </c>
    </row>
    <row r="984" spans="1:21" x14ac:dyDescent="0.2">
      <c r="A984" s="3">
        <v>983</v>
      </c>
      <c r="B984" s="5" t="s">
        <v>1634</v>
      </c>
      <c r="C984" s="5" t="s">
        <v>1270</v>
      </c>
      <c r="D984" s="5" t="s">
        <v>1214</v>
      </c>
      <c r="I984" s="11" t="s">
        <v>898</v>
      </c>
      <c r="K984" s="18"/>
      <c r="N984" s="9" t="s">
        <v>3550</v>
      </c>
      <c r="P984" s="18"/>
      <c r="S984" s="9" t="s">
        <v>3014</v>
      </c>
      <c r="U984" s="5" t="s">
        <v>3014</v>
      </c>
    </row>
    <row r="985" spans="1:21" x14ac:dyDescent="0.2">
      <c r="A985" s="3">
        <v>984</v>
      </c>
      <c r="B985" s="5" t="s">
        <v>1635</v>
      </c>
      <c r="C985" s="5" t="s">
        <v>1181</v>
      </c>
      <c r="D985" s="5" t="s">
        <v>1201</v>
      </c>
      <c r="I985" s="11" t="s">
        <v>905</v>
      </c>
      <c r="K985" s="18"/>
      <c r="N985" s="9" t="s">
        <v>3369</v>
      </c>
      <c r="P985" s="18"/>
      <c r="U985" s="5" t="s">
        <v>1713</v>
      </c>
    </row>
    <row r="986" spans="1:21" x14ac:dyDescent="0.2">
      <c r="A986" s="3">
        <v>985</v>
      </c>
      <c r="B986" s="5" t="s">
        <v>1636</v>
      </c>
      <c r="C986" s="5" t="s">
        <v>1189</v>
      </c>
      <c r="D986" s="5" t="s">
        <v>1206</v>
      </c>
      <c r="I986" s="11" t="s">
        <v>906</v>
      </c>
      <c r="K986" s="18"/>
      <c r="N986" s="9" t="s">
        <v>3370</v>
      </c>
      <c r="P986" s="18"/>
      <c r="U986" s="5" t="s">
        <v>1713</v>
      </c>
    </row>
    <row r="987" spans="1:21" x14ac:dyDescent="0.2">
      <c r="A987" s="3">
        <v>986</v>
      </c>
      <c r="B987" s="5" t="s">
        <v>1637</v>
      </c>
      <c r="C987" s="5" t="s">
        <v>1168</v>
      </c>
      <c r="D987" s="5" t="s">
        <v>1270</v>
      </c>
      <c r="I987" s="11" t="s">
        <v>907</v>
      </c>
      <c r="K987" s="18"/>
      <c r="N987" s="9" t="s">
        <v>3371</v>
      </c>
      <c r="P987" s="18"/>
      <c r="U987" s="5" t="s">
        <v>1713</v>
      </c>
    </row>
    <row r="988" spans="1:21" x14ac:dyDescent="0.2">
      <c r="A988" s="3">
        <v>987</v>
      </c>
      <c r="B988" s="5" t="s">
        <v>1638</v>
      </c>
      <c r="C988" s="5" t="s">
        <v>1223</v>
      </c>
      <c r="D988" s="5" t="s">
        <v>1189</v>
      </c>
      <c r="I988" s="11" t="s">
        <v>908</v>
      </c>
      <c r="K988" s="18"/>
      <c r="N988" s="9" t="s">
        <v>3372</v>
      </c>
      <c r="P988" s="18"/>
      <c r="U988" s="5" t="s">
        <v>1713</v>
      </c>
    </row>
    <row r="989" spans="1:21" x14ac:dyDescent="0.2">
      <c r="A989" s="3">
        <v>988</v>
      </c>
      <c r="B989" s="5" t="s">
        <v>1639</v>
      </c>
      <c r="C989" s="5" t="s">
        <v>1173</v>
      </c>
      <c r="D989" s="5" t="s">
        <v>1201</v>
      </c>
      <c r="I989" s="11" t="s">
        <v>909</v>
      </c>
      <c r="K989" s="18"/>
      <c r="N989" s="9" t="s">
        <v>3373</v>
      </c>
      <c r="P989" s="18"/>
      <c r="U989" s="5" t="s">
        <v>1713</v>
      </c>
    </row>
    <row r="990" spans="1:21" x14ac:dyDescent="0.2">
      <c r="A990" s="3">
        <v>989</v>
      </c>
      <c r="B990" s="5" t="s">
        <v>1640</v>
      </c>
      <c r="C990" s="5" t="s">
        <v>1179</v>
      </c>
      <c r="D990" s="5" t="s">
        <v>1181</v>
      </c>
      <c r="I990" s="11" t="s">
        <v>910</v>
      </c>
      <c r="K990" s="18"/>
      <c r="N990" s="9" t="s">
        <v>3374</v>
      </c>
      <c r="P990" s="18"/>
      <c r="U990" s="5" t="s">
        <v>1713</v>
      </c>
    </row>
    <row r="991" spans="1:21" x14ac:dyDescent="0.2">
      <c r="A991" s="3">
        <v>990</v>
      </c>
      <c r="B991" s="5" t="s">
        <v>1641</v>
      </c>
      <c r="C991" s="5" t="s">
        <v>1181</v>
      </c>
      <c r="D991" s="5" t="s">
        <v>1214</v>
      </c>
      <c r="I991" s="11" t="s">
        <v>911</v>
      </c>
      <c r="K991" s="18"/>
      <c r="N991" s="9" t="s">
        <v>3375</v>
      </c>
      <c r="P991" s="18"/>
      <c r="U991" s="5" t="s">
        <v>1713</v>
      </c>
    </row>
    <row r="992" spans="1:21" x14ac:dyDescent="0.2">
      <c r="A992" s="3">
        <v>991</v>
      </c>
      <c r="B992" s="5" t="s">
        <v>1642</v>
      </c>
      <c r="C992" s="5" t="s">
        <v>1220</v>
      </c>
      <c r="D992" s="5" t="s">
        <v>1172</v>
      </c>
      <c r="I992" s="11" t="s">
        <v>912</v>
      </c>
      <c r="K992" s="18"/>
      <c r="N992" s="9" t="s">
        <v>3376</v>
      </c>
      <c r="P992" s="18"/>
      <c r="U992" s="5" t="s">
        <v>1713</v>
      </c>
    </row>
    <row r="993" spans="1:21" x14ac:dyDescent="0.2">
      <c r="A993" s="3">
        <v>992</v>
      </c>
      <c r="B993" s="5" t="s">
        <v>1643</v>
      </c>
      <c r="C993" s="5" t="s">
        <v>1201</v>
      </c>
      <c r="D993" s="5" t="s">
        <v>1179</v>
      </c>
      <c r="I993" s="11" t="s">
        <v>913</v>
      </c>
      <c r="K993" s="18"/>
      <c r="N993" s="9" t="s">
        <v>3377</v>
      </c>
      <c r="P993" s="18"/>
      <c r="U993" s="5" t="s">
        <v>1713</v>
      </c>
    </row>
    <row r="994" spans="1:21" x14ac:dyDescent="0.2">
      <c r="A994" s="3">
        <v>993</v>
      </c>
      <c r="B994" s="5" t="s">
        <v>1644</v>
      </c>
      <c r="C994" s="5" t="s">
        <v>1270</v>
      </c>
      <c r="D994" s="5" t="s">
        <v>1171</v>
      </c>
      <c r="I994" s="11" t="s">
        <v>914</v>
      </c>
      <c r="K994" s="18"/>
      <c r="N994" s="9" t="s">
        <v>3378</v>
      </c>
      <c r="P994" s="18"/>
      <c r="U994" s="5" t="s">
        <v>1713</v>
      </c>
    </row>
    <row r="995" spans="1:21" x14ac:dyDescent="0.2">
      <c r="A995" s="3">
        <v>994</v>
      </c>
      <c r="B995" s="5" t="s">
        <v>1645</v>
      </c>
      <c r="C995" s="5" t="s">
        <v>1170</v>
      </c>
      <c r="D995" s="5" t="s">
        <v>1169</v>
      </c>
      <c r="I995" s="11" t="s">
        <v>915</v>
      </c>
      <c r="K995" s="18"/>
      <c r="N995" s="9" t="s">
        <v>3379</v>
      </c>
      <c r="P995" s="18"/>
      <c r="U995" s="5" t="s">
        <v>1713</v>
      </c>
    </row>
    <row r="996" spans="1:21" x14ac:dyDescent="0.2">
      <c r="A996" s="3">
        <v>995</v>
      </c>
      <c r="B996" s="5" t="s">
        <v>1646</v>
      </c>
      <c r="C996" s="5" t="s">
        <v>1210</v>
      </c>
      <c r="D996" s="5" t="s">
        <v>1179</v>
      </c>
      <c r="I996" s="11" t="s">
        <v>916</v>
      </c>
      <c r="K996" s="18"/>
      <c r="N996" s="9" t="s">
        <v>3380</v>
      </c>
      <c r="P996" s="18"/>
      <c r="U996" s="5" t="s">
        <v>1713</v>
      </c>
    </row>
    <row r="997" spans="1:21" x14ac:dyDescent="0.2">
      <c r="A997" s="3">
        <v>996</v>
      </c>
      <c r="B997" s="5" t="s">
        <v>1647</v>
      </c>
      <c r="C997" s="5" t="s">
        <v>1249</v>
      </c>
      <c r="D997" s="5" t="s">
        <v>1220</v>
      </c>
      <c r="I997" s="11" t="s">
        <v>917</v>
      </c>
      <c r="K997" s="18"/>
      <c r="N997" s="9" t="s">
        <v>3381</v>
      </c>
      <c r="P997" s="18"/>
      <c r="U997" s="5" t="s">
        <v>1713</v>
      </c>
    </row>
    <row r="998" spans="1:21" x14ac:dyDescent="0.2">
      <c r="A998" s="3">
        <v>997</v>
      </c>
      <c r="B998" s="5" t="s">
        <v>1648</v>
      </c>
      <c r="C998" s="5" t="s">
        <v>1249</v>
      </c>
      <c r="D998" s="5" t="s">
        <v>1220</v>
      </c>
      <c r="I998" s="11" t="s">
        <v>918</v>
      </c>
      <c r="K998" s="18"/>
      <c r="N998" s="9" t="s">
        <v>3382</v>
      </c>
      <c r="P998" s="18"/>
      <c r="S998" s="9" t="s">
        <v>3012</v>
      </c>
      <c r="U998" s="5" t="s">
        <v>3012</v>
      </c>
    </row>
    <row r="999" spans="1:21" x14ac:dyDescent="0.2">
      <c r="A999" s="3">
        <v>998</v>
      </c>
      <c r="B999" s="5" t="s">
        <v>1649</v>
      </c>
      <c r="C999" s="5" t="s">
        <v>1249</v>
      </c>
      <c r="D999" s="5" t="s">
        <v>1220</v>
      </c>
      <c r="I999" s="11" t="s">
        <v>919</v>
      </c>
      <c r="K999" s="18"/>
      <c r="N999" s="9" t="s">
        <v>3550</v>
      </c>
      <c r="P999" s="18"/>
      <c r="S999" s="9" t="s">
        <v>3013</v>
      </c>
      <c r="U999" s="5" t="s">
        <v>3013</v>
      </c>
    </row>
    <row r="1000" spans="1:21" x14ac:dyDescent="0.2">
      <c r="A1000" s="3">
        <v>999</v>
      </c>
      <c r="B1000" s="5" t="s">
        <v>1650</v>
      </c>
      <c r="C1000" s="5" t="s">
        <v>1223</v>
      </c>
      <c r="I1000" s="24" t="s">
        <v>920</v>
      </c>
      <c r="K1000" s="18"/>
      <c r="N1000" s="9" t="s">
        <v>3097</v>
      </c>
      <c r="P1000" s="18"/>
      <c r="U1000" s="5" t="s">
        <v>1713</v>
      </c>
    </row>
    <row r="1001" spans="1:21" x14ac:dyDescent="0.2">
      <c r="A1001" s="3">
        <v>1000</v>
      </c>
      <c r="B1001" s="5" t="s">
        <v>1651</v>
      </c>
      <c r="C1001" s="5" t="s">
        <v>1214</v>
      </c>
      <c r="D1001" s="5" t="s">
        <v>1223</v>
      </c>
      <c r="I1001" s="11" t="s">
        <v>921</v>
      </c>
      <c r="K1001" s="18"/>
      <c r="N1001" s="9" t="s">
        <v>3550</v>
      </c>
      <c r="P1001" s="18"/>
      <c r="S1001" s="9" t="s">
        <v>3098</v>
      </c>
      <c r="U1001" s="5" t="s">
        <v>3098</v>
      </c>
    </row>
    <row r="1002" spans="1:21" x14ac:dyDescent="0.2">
      <c r="A1002" s="3">
        <v>1001</v>
      </c>
      <c r="B1002" s="5" t="s">
        <v>1652</v>
      </c>
      <c r="C1002" s="5" t="s">
        <v>1270</v>
      </c>
      <c r="D1002" s="5" t="s">
        <v>1168</v>
      </c>
      <c r="I1002" s="11" t="s">
        <v>922</v>
      </c>
      <c r="K1002" s="18"/>
      <c r="N1002" s="9" t="s">
        <v>3099</v>
      </c>
      <c r="P1002" s="18"/>
      <c r="U1002" s="5" t="s">
        <v>1713</v>
      </c>
    </row>
    <row r="1003" spans="1:21" x14ac:dyDescent="0.2">
      <c r="A1003" s="3">
        <v>1002</v>
      </c>
      <c r="B1003" s="5" t="s">
        <v>1653</v>
      </c>
      <c r="C1003" s="5" t="s">
        <v>1270</v>
      </c>
      <c r="D1003" s="5" t="s">
        <v>1220</v>
      </c>
      <c r="I1003" s="11" t="s">
        <v>923</v>
      </c>
      <c r="K1003" s="18"/>
      <c r="N1003" s="9" t="s">
        <v>3100</v>
      </c>
      <c r="P1003" s="18"/>
      <c r="U1003" s="5" t="s">
        <v>1713</v>
      </c>
    </row>
    <row r="1004" spans="1:21" x14ac:dyDescent="0.2">
      <c r="A1004" s="3">
        <v>1003</v>
      </c>
      <c r="B1004" s="5" t="s">
        <v>1654</v>
      </c>
      <c r="C1004" s="5" t="s">
        <v>1270</v>
      </c>
      <c r="D1004" s="5" t="s">
        <v>1181</v>
      </c>
      <c r="I1004" s="11" t="s">
        <v>924</v>
      </c>
      <c r="K1004" s="18"/>
      <c r="N1004" s="9" t="s">
        <v>3101</v>
      </c>
      <c r="P1004" s="18"/>
      <c r="U1004" s="5" t="s">
        <v>1713</v>
      </c>
    </row>
    <row r="1005" spans="1:21" x14ac:dyDescent="0.2">
      <c r="A1005" s="3">
        <v>1004</v>
      </c>
      <c r="B1005" s="5" t="s">
        <v>1655</v>
      </c>
      <c r="C1005" s="5" t="s">
        <v>1270</v>
      </c>
      <c r="D1005" s="5" t="s">
        <v>1170</v>
      </c>
      <c r="I1005" s="11" t="s">
        <v>925</v>
      </c>
      <c r="K1005" s="18"/>
      <c r="N1005" s="9" t="s">
        <v>3102</v>
      </c>
      <c r="P1005" s="18"/>
      <c r="U1005" s="5" t="s">
        <v>1713</v>
      </c>
    </row>
    <row r="1006" spans="1:21" x14ac:dyDescent="0.2">
      <c r="A1006" s="3">
        <v>1005</v>
      </c>
      <c r="B1006" s="5" t="s">
        <v>1656</v>
      </c>
      <c r="C1006" s="5" t="s">
        <v>1249</v>
      </c>
      <c r="D1006" s="5" t="s">
        <v>1270</v>
      </c>
      <c r="I1006" s="11" t="s">
        <v>926</v>
      </c>
      <c r="K1006" s="18"/>
      <c r="N1006" s="9" t="s">
        <v>3383</v>
      </c>
      <c r="P1006" s="18"/>
      <c r="U1006" s="5" t="s">
        <v>1713</v>
      </c>
    </row>
    <row r="1007" spans="1:21" x14ac:dyDescent="0.2">
      <c r="A1007" s="3">
        <v>1006</v>
      </c>
      <c r="B1007" s="5" t="s">
        <v>1657</v>
      </c>
      <c r="C1007" s="5" t="s">
        <v>1189</v>
      </c>
      <c r="D1007" s="5" t="s">
        <v>1201</v>
      </c>
      <c r="I1007" s="11" t="s">
        <v>927</v>
      </c>
      <c r="K1007" s="18"/>
      <c r="N1007" s="9" t="s">
        <v>3384</v>
      </c>
      <c r="P1007" s="18"/>
      <c r="U1007" s="5" t="s">
        <v>1713</v>
      </c>
    </row>
    <row r="1008" spans="1:21" x14ac:dyDescent="0.2">
      <c r="A1008" s="3">
        <v>1007</v>
      </c>
      <c r="B1008" s="5" t="s">
        <v>1658</v>
      </c>
      <c r="C1008" s="5" t="s">
        <v>1201</v>
      </c>
      <c r="D1008" s="5" t="s">
        <v>1249</v>
      </c>
      <c r="I1008" s="11" t="s">
        <v>928</v>
      </c>
      <c r="K1008" s="18"/>
      <c r="N1008" s="9" t="s">
        <v>3385</v>
      </c>
      <c r="P1008" s="18"/>
      <c r="U1008" s="5" t="s">
        <v>1713</v>
      </c>
    </row>
    <row r="1009" spans="1:21" x14ac:dyDescent="0.2">
      <c r="A1009" s="3">
        <v>1008</v>
      </c>
      <c r="B1009" s="5" t="s">
        <v>1659</v>
      </c>
      <c r="C1009" s="5" t="s">
        <v>1179</v>
      </c>
      <c r="D1009" s="5" t="s">
        <v>1249</v>
      </c>
      <c r="I1009" s="11" t="s">
        <v>929</v>
      </c>
      <c r="K1009" s="18"/>
      <c r="N1009" s="9" t="s">
        <v>3386</v>
      </c>
      <c r="P1009" s="18"/>
      <c r="U1009" s="5" t="s">
        <v>1713</v>
      </c>
    </row>
    <row r="1010" spans="1:21" x14ac:dyDescent="0.2">
      <c r="A1010" s="3">
        <v>1009</v>
      </c>
      <c r="B1010" s="5" t="s">
        <v>1660</v>
      </c>
      <c r="C1010" s="5" t="s">
        <v>1172</v>
      </c>
      <c r="D1010" s="5" t="s">
        <v>1249</v>
      </c>
      <c r="K1010" s="18"/>
      <c r="P1010" s="18"/>
      <c r="U1010" s="5" t="s">
        <v>1713</v>
      </c>
    </row>
    <row r="1011" spans="1:21" x14ac:dyDescent="0.2">
      <c r="A1011" s="3">
        <v>1010</v>
      </c>
      <c r="B1011" s="5" t="s">
        <v>1661</v>
      </c>
      <c r="C1011" s="5" t="s">
        <v>1168</v>
      </c>
      <c r="D1011" s="5" t="s">
        <v>1206</v>
      </c>
      <c r="K1011" s="18"/>
      <c r="P1011" s="18"/>
      <c r="U1011" s="5" t="s">
        <v>1713</v>
      </c>
    </row>
    <row r="1012" spans="1:21" x14ac:dyDescent="0.2">
      <c r="A1012" s="3">
        <v>1011</v>
      </c>
      <c r="B1012" s="5" t="s">
        <v>1662</v>
      </c>
      <c r="C1012" s="5" t="s">
        <v>1168</v>
      </c>
      <c r="D1012" s="5" t="s">
        <v>1249</v>
      </c>
      <c r="K1012" s="18"/>
      <c r="P1012" s="18"/>
      <c r="U1012" s="5" t="s">
        <v>1713</v>
      </c>
    </row>
    <row r="1013" spans="1:21" x14ac:dyDescent="0.2">
      <c r="A1013" s="3">
        <v>1012</v>
      </c>
      <c r="B1013" s="5" t="s">
        <v>1663</v>
      </c>
      <c r="C1013" s="5" t="s">
        <v>1168</v>
      </c>
      <c r="D1013" s="5" t="s">
        <v>1223</v>
      </c>
      <c r="K1013" s="18"/>
      <c r="P1013" s="18"/>
      <c r="U1013" s="5" t="s">
        <v>1713</v>
      </c>
    </row>
    <row r="1014" spans="1:21" x14ac:dyDescent="0.2">
      <c r="A1014" s="3">
        <v>1013</v>
      </c>
      <c r="B1014" s="5" t="s">
        <v>1664</v>
      </c>
      <c r="C1014" s="5" t="s">
        <v>1168</v>
      </c>
      <c r="D1014" s="5" t="s">
        <v>1223</v>
      </c>
      <c r="K1014" s="18"/>
      <c r="P1014" s="18"/>
      <c r="U1014" s="5" t="s">
        <v>1713</v>
      </c>
    </row>
    <row r="1015" spans="1:21" x14ac:dyDescent="0.2">
      <c r="A1015" s="3">
        <v>1014</v>
      </c>
      <c r="B1015" s="5" t="s">
        <v>1665</v>
      </c>
      <c r="C1015" s="5" t="s">
        <v>1169</v>
      </c>
      <c r="D1015" s="5" t="s">
        <v>1201</v>
      </c>
      <c r="K1015" s="18"/>
      <c r="P1015" s="18"/>
      <c r="U1015" s="5" t="s">
        <v>1713</v>
      </c>
    </row>
    <row r="1016" spans="1:21" x14ac:dyDescent="0.2">
      <c r="A1016" s="3">
        <v>1015</v>
      </c>
      <c r="B1016" s="5" t="s">
        <v>1666</v>
      </c>
      <c r="C1016" s="5" t="s">
        <v>1169</v>
      </c>
      <c r="D1016" s="5" t="s">
        <v>1206</v>
      </c>
      <c r="K1016" s="18"/>
      <c r="P1016" s="18"/>
      <c r="U1016" s="5" t="s">
        <v>1713</v>
      </c>
    </row>
    <row r="1017" spans="1:21" x14ac:dyDescent="0.2">
      <c r="A1017" s="3">
        <v>1016</v>
      </c>
      <c r="B1017" s="5" t="s">
        <v>1667</v>
      </c>
      <c r="C1017" s="5" t="s">
        <v>1169</v>
      </c>
      <c r="D1017" s="5" t="s">
        <v>1189</v>
      </c>
      <c r="K1017" s="18"/>
      <c r="P1017" s="18"/>
      <c r="U1017" s="5" t="s">
        <v>1713</v>
      </c>
    </row>
    <row r="1018" spans="1:21" x14ac:dyDescent="0.2">
      <c r="A1018" s="3">
        <v>1017</v>
      </c>
      <c r="B1018" s="5" t="s">
        <v>1668</v>
      </c>
      <c r="C1018" s="5" t="s">
        <v>1168</v>
      </c>
      <c r="K1018" s="18"/>
      <c r="P1018" s="18"/>
      <c r="U1018" s="5" t="s">
        <v>1713</v>
      </c>
    </row>
    <row r="1019" spans="1:21" x14ac:dyDescent="0.2">
      <c r="A1019" s="3">
        <v>1018</v>
      </c>
      <c r="B1019" s="5" t="s">
        <v>1669</v>
      </c>
      <c r="C1019" s="5" t="s">
        <v>1214</v>
      </c>
      <c r="D1019" s="5" t="s">
        <v>1249</v>
      </c>
      <c r="K1019" s="18"/>
      <c r="P1019" s="18"/>
      <c r="U1019" s="5" t="s">
        <v>1713</v>
      </c>
    </row>
    <row r="1020" spans="1:21" x14ac:dyDescent="0.2">
      <c r="A1020" s="3">
        <v>1019</v>
      </c>
      <c r="B1020" s="5" t="s">
        <v>1670</v>
      </c>
      <c r="C1020" s="5" t="s">
        <v>1168</v>
      </c>
      <c r="D1020" s="5" t="s">
        <v>1249</v>
      </c>
      <c r="K1020" s="18"/>
      <c r="P1020" s="18"/>
      <c r="U1020" s="5" t="s">
        <v>1713</v>
      </c>
    </row>
    <row r="1021" spans="1:21" x14ac:dyDescent="0.2">
      <c r="A1021" s="3">
        <v>1020</v>
      </c>
      <c r="B1021" s="5" t="s">
        <v>1671</v>
      </c>
      <c r="C1021" s="5" t="s">
        <v>1170</v>
      </c>
      <c r="D1021" s="5" t="s">
        <v>1249</v>
      </c>
      <c r="K1021" s="18"/>
      <c r="P1021" s="18"/>
      <c r="U1021" s="5" t="s">
        <v>1713</v>
      </c>
    </row>
    <row r="1022" spans="1:21" x14ac:dyDescent="0.2">
      <c r="A1022" s="3">
        <v>1021</v>
      </c>
      <c r="B1022" s="5" t="s">
        <v>1672</v>
      </c>
      <c r="C1022" s="5" t="s">
        <v>1179</v>
      </c>
      <c r="D1022" s="5" t="s">
        <v>1249</v>
      </c>
      <c r="K1022" s="18"/>
      <c r="P1022" s="18"/>
      <c r="U1022" s="5" t="s">
        <v>1713</v>
      </c>
    </row>
    <row r="1023" spans="1:21" x14ac:dyDescent="0.2">
      <c r="A1023" s="3">
        <v>1022</v>
      </c>
      <c r="B1023" s="5" t="s">
        <v>1673</v>
      </c>
      <c r="C1023" s="5" t="s">
        <v>1210</v>
      </c>
      <c r="D1023" s="5" t="s">
        <v>1206</v>
      </c>
      <c r="K1023" s="18"/>
      <c r="P1023" s="18"/>
      <c r="U1023" s="5" t="s">
        <v>1713</v>
      </c>
    </row>
    <row r="1024" spans="1:21" x14ac:dyDescent="0.2">
      <c r="A1024" s="3">
        <v>1023</v>
      </c>
      <c r="B1024" s="5" t="s">
        <v>1674</v>
      </c>
      <c r="C1024" s="5" t="s">
        <v>1214</v>
      </c>
      <c r="D1024" s="5" t="s">
        <v>1206</v>
      </c>
      <c r="K1024" s="18"/>
      <c r="P1024" s="18"/>
      <c r="U1024" s="5" t="s">
        <v>1713</v>
      </c>
    </row>
    <row r="1025" spans="1:21" x14ac:dyDescent="0.2">
      <c r="A1025" s="3">
        <v>1024</v>
      </c>
      <c r="B1025" s="5" t="s">
        <v>1675</v>
      </c>
      <c r="C1025" s="5" t="s">
        <v>1174</v>
      </c>
      <c r="K1025" s="18"/>
      <c r="P1025" s="18"/>
      <c r="U1025" s="5" t="s">
        <v>1713</v>
      </c>
    </row>
    <row r="1026" spans="1:21" x14ac:dyDescent="0.2">
      <c r="A1026" s="3">
        <v>1025</v>
      </c>
      <c r="B1026" s="5" t="s">
        <v>1676</v>
      </c>
      <c r="C1026" s="5" t="s">
        <v>1169</v>
      </c>
      <c r="D1026" s="5" t="s">
        <v>1223</v>
      </c>
      <c r="K1026" s="18"/>
      <c r="P1026" s="18"/>
      <c r="U1026" s="5" t="s">
        <v>1713</v>
      </c>
    </row>
    <row r="1027" spans="1:21" x14ac:dyDescent="0.2">
      <c r="A1027" s="3" t="s">
        <v>2138</v>
      </c>
      <c r="B1027" s="5" t="s">
        <v>3428</v>
      </c>
      <c r="C1027" s="5" t="s">
        <v>1168</v>
      </c>
      <c r="D1027" s="5" t="s">
        <v>1249</v>
      </c>
      <c r="E1027" s="18" t="s">
        <v>2138</v>
      </c>
      <c r="K1027" s="20" t="s">
        <v>3464</v>
      </c>
      <c r="P1027" s="20" t="s">
        <v>1713</v>
      </c>
      <c r="U1027" s="5" t="s">
        <v>1713</v>
      </c>
    </row>
    <row r="1028" spans="1:21" x14ac:dyDescent="0.2">
      <c r="A1028" s="3" t="s">
        <v>2140</v>
      </c>
      <c r="B1028" s="5" t="s">
        <v>3429</v>
      </c>
      <c r="C1028" s="5" t="s">
        <v>1170</v>
      </c>
      <c r="D1028" s="5" t="s">
        <v>1223</v>
      </c>
      <c r="E1028" s="18" t="s">
        <v>2140</v>
      </c>
      <c r="K1028" s="20" t="s">
        <v>3465</v>
      </c>
      <c r="P1028" s="20" t="s">
        <v>1713</v>
      </c>
      <c r="U1028" s="5" t="s">
        <v>1713</v>
      </c>
    </row>
    <row r="1029" spans="1:21" x14ac:dyDescent="0.2">
      <c r="A1029" s="3" t="s">
        <v>2789</v>
      </c>
      <c r="B1029" s="23" t="s">
        <v>421</v>
      </c>
      <c r="C1029" s="5" t="s">
        <v>1169</v>
      </c>
      <c r="D1029" s="5" t="s">
        <v>1189</v>
      </c>
      <c r="F1029" s="4" t="s">
        <v>2788</v>
      </c>
      <c r="K1029" s="18"/>
      <c r="L1029" s="21" t="s">
        <v>2511</v>
      </c>
      <c r="P1029" s="18"/>
      <c r="Q1029" s="21" t="s">
        <v>1135</v>
      </c>
      <c r="U1029" s="5" t="s">
        <v>1135</v>
      </c>
    </row>
    <row r="1030" spans="1:21" x14ac:dyDescent="0.2">
      <c r="A1030" s="3" t="s">
        <v>2150</v>
      </c>
      <c r="B1030" s="5" t="s">
        <v>2031</v>
      </c>
      <c r="C1030" s="5" t="s">
        <v>1174</v>
      </c>
      <c r="J1030" s="19" t="s">
        <v>2253</v>
      </c>
      <c r="O1030" s="14" t="s">
        <v>2470</v>
      </c>
      <c r="T1030" s="12" t="s">
        <v>2385</v>
      </c>
      <c r="U1030" s="5" t="s">
        <v>2385</v>
      </c>
    </row>
    <row r="1031" spans="1:21" x14ac:dyDescent="0.2">
      <c r="A1031" s="3" t="s">
        <v>2155</v>
      </c>
      <c r="B1031" s="5" t="s">
        <v>1849</v>
      </c>
      <c r="C1031" s="5" t="s">
        <v>1172</v>
      </c>
      <c r="J1031" s="19" t="s">
        <v>2071</v>
      </c>
      <c r="O1031" s="12" t="s">
        <v>2426</v>
      </c>
      <c r="T1031" s="12" t="s">
        <v>1713</v>
      </c>
      <c r="U1031" s="5" t="s">
        <v>1713</v>
      </c>
    </row>
    <row r="1032" spans="1:21" x14ac:dyDescent="0.2">
      <c r="A1032" s="3" t="s">
        <v>2156</v>
      </c>
      <c r="B1032" s="5" t="s">
        <v>1850</v>
      </c>
      <c r="C1032" s="5" t="s">
        <v>1172</v>
      </c>
      <c r="D1032" s="5" t="s">
        <v>1206</v>
      </c>
      <c r="J1032" s="19" t="s">
        <v>2072</v>
      </c>
      <c r="O1032" s="14" t="s">
        <v>2417</v>
      </c>
      <c r="T1032" s="12" t="s">
        <v>2283</v>
      </c>
      <c r="U1032" s="5" t="s">
        <v>2283</v>
      </c>
    </row>
    <row r="1033" spans="1:21" x14ac:dyDescent="0.2">
      <c r="A1033" s="3" t="s">
        <v>2794</v>
      </c>
      <c r="B1033" s="23" t="s">
        <v>507</v>
      </c>
      <c r="C1033" s="5" t="s">
        <v>1206</v>
      </c>
      <c r="D1033" s="5" t="s">
        <v>1220</v>
      </c>
      <c r="F1033" s="4" t="s">
        <v>2795</v>
      </c>
      <c r="K1033" s="18"/>
      <c r="L1033" s="21" t="s">
        <v>2578</v>
      </c>
      <c r="P1033" s="18"/>
      <c r="U1033" s="5" t="s">
        <v>1713</v>
      </c>
    </row>
    <row r="1034" spans="1:21" x14ac:dyDescent="0.2">
      <c r="A1034" s="3" t="s">
        <v>2158</v>
      </c>
      <c r="B1034" s="5" t="s">
        <v>1989</v>
      </c>
      <c r="C1034" s="5" t="s">
        <v>1173</v>
      </c>
      <c r="D1034" s="5" t="s">
        <v>1171</v>
      </c>
      <c r="J1034" s="19" t="s">
        <v>2211</v>
      </c>
      <c r="O1034" s="12" t="s">
        <v>2488</v>
      </c>
      <c r="T1034" s="12" t="s">
        <v>1713</v>
      </c>
      <c r="U1034" s="5" t="s">
        <v>1713</v>
      </c>
    </row>
    <row r="1035" spans="1:21" x14ac:dyDescent="0.2">
      <c r="A1035" s="3" t="s">
        <v>2162</v>
      </c>
      <c r="B1035" s="5" t="s">
        <v>1991</v>
      </c>
      <c r="C1035" s="5" t="s">
        <v>1173</v>
      </c>
      <c r="J1035" s="19" t="s">
        <v>2213</v>
      </c>
      <c r="O1035" s="14" t="s">
        <v>2417</v>
      </c>
      <c r="T1035" s="12" t="s">
        <v>1713</v>
      </c>
      <c r="U1035" s="5" t="s">
        <v>1713</v>
      </c>
    </row>
    <row r="1036" spans="1:21" x14ac:dyDescent="0.2">
      <c r="A1036" s="3" t="s">
        <v>2164</v>
      </c>
      <c r="B1036" s="5" t="s">
        <v>1845</v>
      </c>
      <c r="C1036" s="5" t="s">
        <v>1172</v>
      </c>
      <c r="J1036" s="19" t="s">
        <v>2067</v>
      </c>
      <c r="O1036" s="12" t="s">
        <v>2424</v>
      </c>
      <c r="T1036" s="12" t="s">
        <v>1713</v>
      </c>
      <c r="U1036" s="5" t="s">
        <v>1713</v>
      </c>
    </row>
    <row r="1037" spans="1:21" x14ac:dyDescent="0.2">
      <c r="A1037" s="3" t="s">
        <v>2165</v>
      </c>
      <c r="B1037" s="5" t="s">
        <v>1846</v>
      </c>
      <c r="C1037" s="5" t="s">
        <v>1172</v>
      </c>
      <c r="D1037" s="5" t="s">
        <v>1171</v>
      </c>
      <c r="J1037" s="19" t="s">
        <v>2068</v>
      </c>
      <c r="O1037" s="14" t="s">
        <v>2417</v>
      </c>
      <c r="T1037" s="12" t="s">
        <v>2281</v>
      </c>
      <c r="U1037" s="5" t="s">
        <v>2281</v>
      </c>
    </row>
    <row r="1038" spans="1:21" x14ac:dyDescent="0.2">
      <c r="A1038" s="3" t="s">
        <v>2168</v>
      </c>
      <c r="B1038" s="5" t="s">
        <v>1913</v>
      </c>
      <c r="C1038" s="5" t="s">
        <v>1174</v>
      </c>
      <c r="J1038" s="19" t="s">
        <v>2135</v>
      </c>
      <c r="O1038" s="12" t="s">
        <v>2470</v>
      </c>
      <c r="T1038" s="12" t="s">
        <v>1713</v>
      </c>
      <c r="U1038" s="5" t="s">
        <v>1713</v>
      </c>
    </row>
    <row r="1039" spans="1:21" x14ac:dyDescent="0.2">
      <c r="A1039" s="3" t="s">
        <v>2169</v>
      </c>
      <c r="B1039" s="5" t="s">
        <v>1914</v>
      </c>
      <c r="C1039" s="5" t="s">
        <v>1172</v>
      </c>
      <c r="J1039" s="19" t="s">
        <v>2136</v>
      </c>
      <c r="O1039" s="14" t="s">
        <v>2417</v>
      </c>
      <c r="T1039" s="12" t="s">
        <v>2319</v>
      </c>
      <c r="U1039" s="5" t="s">
        <v>2319</v>
      </c>
    </row>
    <row r="1040" spans="1:21" x14ac:dyDescent="0.2">
      <c r="A1040" s="3" t="s">
        <v>2170</v>
      </c>
      <c r="B1040" s="5" t="s">
        <v>1915</v>
      </c>
      <c r="C1040" s="5" t="s">
        <v>1179</v>
      </c>
      <c r="J1040" s="19" t="s">
        <v>2137</v>
      </c>
      <c r="O1040" s="14" t="s">
        <v>2417</v>
      </c>
      <c r="T1040" s="12" t="s">
        <v>2320</v>
      </c>
      <c r="U1040" s="5" t="s">
        <v>2320</v>
      </c>
    </row>
    <row r="1041" spans="1:21" x14ac:dyDescent="0.2">
      <c r="A1041" s="3" t="s">
        <v>2171</v>
      </c>
      <c r="B1041" s="5" t="s">
        <v>1916</v>
      </c>
      <c r="C1041" s="5" t="s">
        <v>1170</v>
      </c>
      <c r="J1041" s="19" t="s">
        <v>2138</v>
      </c>
      <c r="O1041" s="14" t="s">
        <v>2417</v>
      </c>
      <c r="T1041" s="12" t="s">
        <v>2321</v>
      </c>
      <c r="U1041" s="5" t="s">
        <v>2321</v>
      </c>
    </row>
    <row r="1042" spans="1:21" x14ac:dyDescent="0.2">
      <c r="A1042" s="3" t="s">
        <v>2816</v>
      </c>
      <c r="B1042" s="5" t="s">
        <v>1831</v>
      </c>
      <c r="C1042" s="5" t="s">
        <v>1173</v>
      </c>
      <c r="D1042" s="5" t="s">
        <v>1169</v>
      </c>
      <c r="J1042" s="19" t="s">
        <v>2053</v>
      </c>
      <c r="O1042" s="12" t="s">
        <v>2259</v>
      </c>
      <c r="T1042" s="12" t="s">
        <v>1713</v>
      </c>
      <c r="U1042" s="5" t="s">
        <v>1713</v>
      </c>
    </row>
    <row r="1043" spans="1:21" x14ac:dyDescent="0.2">
      <c r="A1043" s="3" t="s">
        <v>2182</v>
      </c>
      <c r="B1043" s="5" t="s">
        <v>1958</v>
      </c>
      <c r="C1043" s="5" t="s">
        <v>1249</v>
      </c>
      <c r="J1043" s="19" t="s">
        <v>2180</v>
      </c>
      <c r="O1043" s="12" t="s">
        <v>2482</v>
      </c>
      <c r="T1043" s="12" t="s">
        <v>2346</v>
      </c>
      <c r="U1043" s="5" t="s">
        <v>2346</v>
      </c>
    </row>
    <row r="1044" spans="1:21" x14ac:dyDescent="0.2">
      <c r="A1044" s="3" t="s">
        <v>2183</v>
      </c>
      <c r="B1044" s="5" t="s">
        <v>1959</v>
      </c>
      <c r="C1044" s="5" t="s">
        <v>1249</v>
      </c>
      <c r="J1044" s="19" t="s">
        <v>2181</v>
      </c>
      <c r="O1044" s="12" t="s">
        <v>2483</v>
      </c>
      <c r="T1044" s="12" t="s">
        <v>2347</v>
      </c>
      <c r="U1044" s="5" t="s">
        <v>2347</v>
      </c>
    </row>
    <row r="1045" spans="1:21" x14ac:dyDescent="0.2">
      <c r="A1045" s="3" t="s">
        <v>2184</v>
      </c>
      <c r="B1045" s="5" t="s">
        <v>1960</v>
      </c>
      <c r="C1045" s="5" t="s">
        <v>1249</v>
      </c>
      <c r="D1045" s="5" t="s">
        <v>1171</v>
      </c>
      <c r="J1045" s="19" t="s">
        <v>2182</v>
      </c>
      <c r="O1045" s="14" t="s">
        <v>2417</v>
      </c>
      <c r="T1045" s="12" t="s">
        <v>2348</v>
      </c>
      <c r="U1045" s="5" t="s">
        <v>2348</v>
      </c>
    </row>
    <row r="1046" spans="1:21" x14ac:dyDescent="0.2">
      <c r="A1046" s="3" t="s">
        <v>2817</v>
      </c>
      <c r="B1046" s="5" t="s">
        <v>1832</v>
      </c>
      <c r="C1046" s="5" t="s">
        <v>1173</v>
      </c>
      <c r="D1046" s="5" t="s">
        <v>1169</v>
      </c>
      <c r="J1046" s="19" t="s">
        <v>2054</v>
      </c>
      <c r="O1046" s="12" t="s">
        <v>2260</v>
      </c>
      <c r="T1046" s="12" t="s">
        <v>2272</v>
      </c>
      <c r="U1046" s="5" t="s">
        <v>2272</v>
      </c>
    </row>
    <row r="1047" spans="1:21" x14ac:dyDescent="0.2">
      <c r="A1047" s="3" t="s">
        <v>2187</v>
      </c>
      <c r="B1047" s="5" t="s">
        <v>1814</v>
      </c>
      <c r="C1047" s="5" t="s">
        <v>1168</v>
      </c>
      <c r="J1047" s="19" t="s">
        <v>2036</v>
      </c>
      <c r="O1047" s="12" t="s">
        <v>2449</v>
      </c>
      <c r="T1047" s="12" t="s">
        <v>1713</v>
      </c>
      <c r="U1047" s="5" t="s">
        <v>1713</v>
      </c>
    </row>
    <row r="1048" spans="1:21" x14ac:dyDescent="0.2">
      <c r="A1048" s="3" t="s">
        <v>2188</v>
      </c>
      <c r="B1048" s="5" t="s">
        <v>1815</v>
      </c>
      <c r="C1048" s="5" t="s">
        <v>1168</v>
      </c>
      <c r="J1048" s="19" t="s">
        <v>2037</v>
      </c>
      <c r="O1048" s="12" t="s">
        <v>1804</v>
      </c>
      <c r="T1048" s="12" t="s">
        <v>2261</v>
      </c>
      <c r="U1048" s="5" t="s">
        <v>2261</v>
      </c>
    </row>
    <row r="1049" spans="1:21" x14ac:dyDescent="0.2">
      <c r="A1049" s="3" t="s">
        <v>2189</v>
      </c>
      <c r="B1049" s="5" t="s">
        <v>1816</v>
      </c>
      <c r="C1049" s="5" t="s">
        <v>1168</v>
      </c>
      <c r="J1049" s="19" t="s">
        <v>2038</v>
      </c>
      <c r="O1049" s="12" t="s">
        <v>1804</v>
      </c>
      <c r="T1049" s="12" t="s">
        <v>2262</v>
      </c>
      <c r="U1049" s="5" t="s">
        <v>2262</v>
      </c>
    </row>
    <row r="1050" spans="1:21" x14ac:dyDescent="0.2">
      <c r="A1050" s="3" t="s">
        <v>2193</v>
      </c>
      <c r="B1050" s="5" t="s">
        <v>1820</v>
      </c>
      <c r="C1050" s="5" t="s">
        <v>1172</v>
      </c>
      <c r="J1050" s="19" t="s">
        <v>2042</v>
      </c>
      <c r="O1050" s="12" t="s">
        <v>2449</v>
      </c>
      <c r="T1050" s="12" t="s">
        <v>1713</v>
      </c>
      <c r="U1050" s="5" t="s">
        <v>1713</v>
      </c>
    </row>
    <row r="1051" spans="1:21" x14ac:dyDescent="0.2">
      <c r="A1051" s="3" t="s">
        <v>2194</v>
      </c>
      <c r="B1051" s="5" t="s">
        <v>1821</v>
      </c>
      <c r="C1051" s="5" t="s">
        <v>1172</v>
      </c>
      <c r="J1051" s="19" t="s">
        <v>2043</v>
      </c>
      <c r="O1051" s="12" t="s">
        <v>1804</v>
      </c>
      <c r="T1051" s="12" t="s">
        <v>2265</v>
      </c>
      <c r="U1051" s="5" t="s">
        <v>2265</v>
      </c>
    </row>
    <row r="1052" spans="1:21" x14ac:dyDescent="0.2">
      <c r="A1052" s="3" t="s">
        <v>2818</v>
      </c>
      <c r="B1052" s="5" t="s">
        <v>1833</v>
      </c>
      <c r="C1052" s="5" t="s">
        <v>1173</v>
      </c>
      <c r="D1052" s="5" t="s">
        <v>1169</v>
      </c>
      <c r="J1052" s="19" t="s">
        <v>2055</v>
      </c>
      <c r="O1052" s="12" t="s">
        <v>2418</v>
      </c>
      <c r="T1052" s="12" t="s">
        <v>2273</v>
      </c>
      <c r="U1052" s="5" t="s">
        <v>2273</v>
      </c>
    </row>
    <row r="1053" spans="1:21" x14ac:dyDescent="0.2">
      <c r="A1053" s="3" t="s">
        <v>2195</v>
      </c>
      <c r="B1053" s="5" t="s">
        <v>1822</v>
      </c>
      <c r="C1053" s="5" t="s">
        <v>1172</v>
      </c>
      <c r="J1053" s="19" t="s">
        <v>2044</v>
      </c>
      <c r="O1053" s="12" t="s">
        <v>1804</v>
      </c>
      <c r="T1053" s="12" t="s">
        <v>2266</v>
      </c>
      <c r="U1053" s="5" t="s">
        <v>2266</v>
      </c>
    </row>
    <row r="1054" spans="1:21" x14ac:dyDescent="0.2">
      <c r="A1054" s="3" t="s">
        <v>2202</v>
      </c>
      <c r="B1054" s="5" t="s">
        <v>1871</v>
      </c>
      <c r="C1054" s="5" t="s">
        <v>1173</v>
      </c>
      <c r="D1054" s="5" t="s">
        <v>1169</v>
      </c>
      <c r="J1054" s="19" t="s">
        <v>2093</v>
      </c>
      <c r="O1054" s="14" t="s">
        <v>2435</v>
      </c>
      <c r="T1054" s="12" t="s">
        <v>1713</v>
      </c>
      <c r="U1054" s="5" t="s">
        <v>1713</v>
      </c>
    </row>
    <row r="1055" spans="1:21" x14ac:dyDescent="0.2">
      <c r="A1055" s="3" t="s">
        <v>2203</v>
      </c>
      <c r="B1055" s="5" t="s">
        <v>1872</v>
      </c>
      <c r="C1055" s="5" t="s">
        <v>1173</v>
      </c>
      <c r="D1055" s="5" t="s">
        <v>1169</v>
      </c>
      <c r="J1055" s="19" t="s">
        <v>2094</v>
      </c>
      <c r="O1055" s="14" t="s">
        <v>2417</v>
      </c>
      <c r="T1055" s="12" t="s">
        <v>2295</v>
      </c>
      <c r="U1055" s="5" t="s">
        <v>2295</v>
      </c>
    </row>
    <row r="1056" spans="1:21" x14ac:dyDescent="0.2">
      <c r="A1056" s="3" t="s">
        <v>2819</v>
      </c>
      <c r="B1056" s="5" t="s">
        <v>1834</v>
      </c>
      <c r="C1056" s="5" t="s">
        <v>1174</v>
      </c>
      <c r="D1056" s="5" t="s">
        <v>1171</v>
      </c>
      <c r="J1056" s="19" t="s">
        <v>2056</v>
      </c>
      <c r="O1056" s="12" t="s">
        <v>2419</v>
      </c>
      <c r="T1056" s="12" t="s">
        <v>1713</v>
      </c>
      <c r="U1056" s="5" t="s">
        <v>1713</v>
      </c>
    </row>
    <row r="1057" spans="1:21" x14ac:dyDescent="0.2">
      <c r="A1057" s="3" t="s">
        <v>2207</v>
      </c>
      <c r="B1057" s="5" t="s">
        <v>1865</v>
      </c>
      <c r="C1057" s="5" t="s">
        <v>1179</v>
      </c>
      <c r="J1057" s="19" t="s">
        <v>2087</v>
      </c>
      <c r="O1057" s="12" t="s">
        <v>2450</v>
      </c>
      <c r="T1057" s="12" t="s">
        <v>1713</v>
      </c>
      <c r="U1057" s="5" t="s">
        <v>1713</v>
      </c>
    </row>
    <row r="1058" spans="1:21" x14ac:dyDescent="0.2">
      <c r="A1058" s="3" t="s">
        <v>2208</v>
      </c>
      <c r="B1058" s="5" t="s">
        <v>1868</v>
      </c>
      <c r="C1058" s="5" t="s">
        <v>1189</v>
      </c>
      <c r="J1058" s="19" t="s">
        <v>2090</v>
      </c>
      <c r="O1058" s="12" t="s">
        <v>2458</v>
      </c>
      <c r="T1058" s="12" t="s">
        <v>1713</v>
      </c>
      <c r="U1058" s="5" t="s">
        <v>1713</v>
      </c>
    </row>
    <row r="1059" spans="1:21" x14ac:dyDescent="0.2">
      <c r="A1059" s="3" t="s">
        <v>2214</v>
      </c>
      <c r="B1059" s="5" t="s">
        <v>1837</v>
      </c>
      <c r="C1059" s="5" t="s">
        <v>1179</v>
      </c>
      <c r="J1059" s="19" t="s">
        <v>2059</v>
      </c>
      <c r="O1059" s="12" t="s">
        <v>2450</v>
      </c>
      <c r="T1059" s="12" t="s">
        <v>1713</v>
      </c>
      <c r="U1059" s="5" t="s">
        <v>1713</v>
      </c>
    </row>
    <row r="1060" spans="1:21" x14ac:dyDescent="0.2">
      <c r="A1060" s="3" t="s">
        <v>2820</v>
      </c>
      <c r="B1060" s="5" t="s">
        <v>1835</v>
      </c>
      <c r="C1060" s="5" t="s">
        <v>1174</v>
      </c>
      <c r="D1060" s="5" t="s">
        <v>1171</v>
      </c>
      <c r="J1060" s="19" t="s">
        <v>2057</v>
      </c>
      <c r="O1060" s="12" t="s">
        <v>2452</v>
      </c>
      <c r="T1060" s="12" t="s">
        <v>2274</v>
      </c>
      <c r="U1060" s="5" t="s">
        <v>2274</v>
      </c>
    </row>
    <row r="1061" spans="1:21" x14ac:dyDescent="0.2">
      <c r="A1061" s="3" t="s">
        <v>2215</v>
      </c>
      <c r="B1061" s="5" t="s">
        <v>1838</v>
      </c>
      <c r="C1061" s="5" t="s">
        <v>1179</v>
      </c>
      <c r="J1061" s="19" t="s">
        <v>2060</v>
      </c>
      <c r="O1061" s="13" t="s">
        <v>2453</v>
      </c>
      <c r="T1061" s="12" t="s">
        <v>2276</v>
      </c>
      <c r="U1061" s="5" t="s">
        <v>2276</v>
      </c>
    </row>
    <row r="1062" spans="1:21" x14ac:dyDescent="0.2">
      <c r="A1062" s="3" t="s">
        <v>2216</v>
      </c>
      <c r="B1062" s="5" t="s">
        <v>1839</v>
      </c>
      <c r="C1062" s="5" t="s">
        <v>1179</v>
      </c>
      <c r="J1062" s="19" t="s">
        <v>2061</v>
      </c>
      <c r="O1062" s="12" t="s">
        <v>2421</v>
      </c>
      <c r="T1062" s="12" t="s">
        <v>2277</v>
      </c>
      <c r="U1062" s="5" t="s">
        <v>2277</v>
      </c>
    </row>
    <row r="1063" spans="1:21" x14ac:dyDescent="0.2">
      <c r="A1063" s="3" t="s">
        <v>2821</v>
      </c>
      <c r="B1063" s="5" t="s">
        <v>1836</v>
      </c>
      <c r="C1063" s="5" t="s">
        <v>1174</v>
      </c>
      <c r="D1063" s="5" t="s">
        <v>1171</v>
      </c>
      <c r="J1063" s="19" t="s">
        <v>2058</v>
      </c>
      <c r="O1063" s="13" t="s">
        <v>2420</v>
      </c>
      <c r="T1063" s="12" t="s">
        <v>2275</v>
      </c>
      <c r="U1063" s="5" t="s">
        <v>2275</v>
      </c>
    </row>
    <row r="1064" spans="1:21" x14ac:dyDescent="0.2">
      <c r="A1064" s="3" t="s">
        <v>3047</v>
      </c>
      <c r="B1064" s="5" t="s">
        <v>3048</v>
      </c>
      <c r="C1064" s="5" t="s">
        <v>1169</v>
      </c>
      <c r="D1064" s="5" t="s">
        <v>1181</v>
      </c>
      <c r="I1064" s="24" t="s">
        <v>582</v>
      </c>
      <c r="N1064" s="9" t="s">
        <v>3143</v>
      </c>
      <c r="U1064" s="5" t="s">
        <v>1713</v>
      </c>
    </row>
    <row r="1065" spans="1:21" x14ac:dyDescent="0.2">
      <c r="A1065" s="3" t="s">
        <v>2887</v>
      </c>
      <c r="B1065" s="5" t="s">
        <v>1917</v>
      </c>
      <c r="C1065" s="5" t="s">
        <v>1206</v>
      </c>
      <c r="J1065" s="19" t="s">
        <v>2139</v>
      </c>
      <c r="O1065" s="12" t="s">
        <v>1804</v>
      </c>
      <c r="T1065" s="12" t="s">
        <v>2322</v>
      </c>
      <c r="U1065" s="5" t="s">
        <v>2322</v>
      </c>
    </row>
    <row r="1066" spans="1:21" x14ac:dyDescent="0.2">
      <c r="A1066" s="3" t="s">
        <v>2227</v>
      </c>
      <c r="B1066" s="5" t="s">
        <v>1918</v>
      </c>
      <c r="C1066" s="5" t="s">
        <v>1270</v>
      </c>
      <c r="J1066" s="19" t="s">
        <v>2140</v>
      </c>
      <c r="O1066" s="12" t="s">
        <v>1804</v>
      </c>
      <c r="T1066" s="12" t="s">
        <v>2323</v>
      </c>
      <c r="U1066" s="5" t="s">
        <v>2323</v>
      </c>
    </row>
    <row r="1067" spans="1:21" x14ac:dyDescent="0.2">
      <c r="A1067" s="3" t="s">
        <v>2229</v>
      </c>
      <c r="B1067" s="5" t="s">
        <v>1952</v>
      </c>
      <c r="C1067" s="5" t="s">
        <v>1172</v>
      </c>
      <c r="D1067" s="5" t="s">
        <v>1206</v>
      </c>
      <c r="J1067" s="19" t="s">
        <v>2174</v>
      </c>
      <c r="O1067" s="12" t="s">
        <v>1804</v>
      </c>
      <c r="T1067" s="12" t="s">
        <v>2342</v>
      </c>
      <c r="U1067" s="5" t="s">
        <v>2342</v>
      </c>
    </row>
    <row r="1068" spans="1:21" x14ac:dyDescent="0.2">
      <c r="A1068" s="3" t="s">
        <v>3397</v>
      </c>
      <c r="B1068" s="5" t="s">
        <v>3398</v>
      </c>
      <c r="C1068" s="5" t="s">
        <v>1270</v>
      </c>
      <c r="D1068" s="5" t="s">
        <v>1174</v>
      </c>
      <c r="E1068" s="18" t="s">
        <v>2054</v>
      </c>
      <c r="K1068" s="20" t="s">
        <v>3430</v>
      </c>
      <c r="P1068" s="20" t="s">
        <v>1713</v>
      </c>
      <c r="U1068" s="5" t="s">
        <v>1713</v>
      </c>
    </row>
    <row r="1069" spans="1:21" x14ac:dyDescent="0.2">
      <c r="A1069" s="3" t="s">
        <v>2926</v>
      </c>
      <c r="B1069" s="5" t="s">
        <v>1961</v>
      </c>
      <c r="C1069" s="5" t="s">
        <v>1168</v>
      </c>
      <c r="D1069" s="5" t="s">
        <v>1169</v>
      </c>
      <c r="J1069" s="19" t="s">
        <v>2183</v>
      </c>
      <c r="O1069" s="12" t="s">
        <v>2449</v>
      </c>
      <c r="T1069" s="12" t="s">
        <v>1713</v>
      </c>
      <c r="U1069" s="5" t="s">
        <v>1713</v>
      </c>
    </row>
    <row r="1070" spans="1:21" x14ac:dyDescent="0.2">
      <c r="A1070" s="3" t="s">
        <v>2238</v>
      </c>
      <c r="B1070" s="5" t="s">
        <v>2006</v>
      </c>
      <c r="C1070" s="5" t="s">
        <v>1214</v>
      </c>
      <c r="D1070" s="5" t="s">
        <v>1181</v>
      </c>
      <c r="J1070" s="19" t="s">
        <v>2228</v>
      </c>
      <c r="O1070" s="12" t="s">
        <v>1809</v>
      </c>
      <c r="T1070" s="12" t="s">
        <v>2370</v>
      </c>
      <c r="U1070" s="5" t="s">
        <v>2370</v>
      </c>
    </row>
    <row r="1071" spans="1:21" x14ac:dyDescent="0.2">
      <c r="A1071" s="3" t="s">
        <v>3399</v>
      </c>
      <c r="B1071" s="5" t="s">
        <v>3400</v>
      </c>
      <c r="C1071" s="5" t="s">
        <v>1270</v>
      </c>
      <c r="D1071" s="5" t="s">
        <v>1174</v>
      </c>
      <c r="E1071" s="18" t="s">
        <v>2055</v>
      </c>
      <c r="K1071" s="20" t="s">
        <v>3550</v>
      </c>
      <c r="P1071" s="20" t="s">
        <v>3432</v>
      </c>
      <c r="U1071" s="5" t="s">
        <v>3432</v>
      </c>
    </row>
    <row r="1072" spans="1:21" x14ac:dyDescent="0.2">
      <c r="A1072" s="3" t="s">
        <v>2242</v>
      </c>
      <c r="B1072" s="5" t="s">
        <v>1990</v>
      </c>
      <c r="C1072" s="5" t="s">
        <v>1173</v>
      </c>
      <c r="D1072" s="5" t="s">
        <v>1214</v>
      </c>
      <c r="J1072" s="19" t="s">
        <v>2212</v>
      </c>
      <c r="O1072" s="12" t="s">
        <v>1804</v>
      </c>
      <c r="T1072" s="12" t="s">
        <v>2364</v>
      </c>
      <c r="U1072" s="5" t="s">
        <v>2364</v>
      </c>
    </row>
    <row r="1073" spans="1:21" x14ac:dyDescent="0.2">
      <c r="A1073" s="3" t="s">
        <v>2244</v>
      </c>
      <c r="B1073" s="5" t="s">
        <v>1992</v>
      </c>
      <c r="C1073" s="5" t="s">
        <v>1173</v>
      </c>
      <c r="D1073" s="5" t="s">
        <v>1201</v>
      </c>
      <c r="J1073" s="19" t="s">
        <v>2214</v>
      </c>
      <c r="O1073" s="14" t="s">
        <v>2417</v>
      </c>
      <c r="T1073" s="12" t="s">
        <v>1713</v>
      </c>
      <c r="U1073" s="5" t="s">
        <v>1713</v>
      </c>
    </row>
    <row r="1074" spans="1:21" x14ac:dyDescent="0.2">
      <c r="A1074" s="3" t="s">
        <v>2801</v>
      </c>
      <c r="B1074" s="23" t="s">
        <v>406</v>
      </c>
      <c r="C1074" s="5" t="s">
        <v>1223</v>
      </c>
      <c r="F1074" s="4" t="s">
        <v>2787</v>
      </c>
      <c r="K1074" s="18"/>
      <c r="L1074" s="21" t="s">
        <v>2729</v>
      </c>
      <c r="P1074" s="18"/>
      <c r="U1074" s="5" t="s">
        <v>1713</v>
      </c>
    </row>
    <row r="1075" spans="1:21" x14ac:dyDescent="0.2">
      <c r="A1075" s="3" t="s">
        <v>2255</v>
      </c>
      <c r="B1075" s="5" t="s">
        <v>1981</v>
      </c>
      <c r="C1075" s="5" t="s">
        <v>1220</v>
      </c>
      <c r="D1075" s="5" t="s">
        <v>1171</v>
      </c>
      <c r="J1075" s="19" t="s">
        <v>2203</v>
      </c>
      <c r="O1075" s="14" t="s">
        <v>2417</v>
      </c>
      <c r="T1075" s="12" t="s">
        <v>1713</v>
      </c>
      <c r="U1075" s="5" t="s">
        <v>1713</v>
      </c>
    </row>
    <row r="1076" spans="1:21" x14ac:dyDescent="0.2">
      <c r="A1076" s="3" t="s">
        <v>2257</v>
      </c>
      <c r="B1076" s="5" t="s">
        <v>2024</v>
      </c>
      <c r="C1076" s="5" t="s">
        <v>1214</v>
      </c>
      <c r="D1076" s="5" t="s">
        <v>1171</v>
      </c>
      <c r="J1076" s="19" t="s">
        <v>2246</v>
      </c>
      <c r="O1076" s="14" t="s">
        <v>2417</v>
      </c>
      <c r="T1076" s="12" t="s">
        <v>1713</v>
      </c>
      <c r="U1076" s="5" t="s">
        <v>1713</v>
      </c>
    </row>
    <row r="1077" spans="1:21" x14ac:dyDescent="0.2">
      <c r="A1077" s="3" t="s">
        <v>2878</v>
      </c>
      <c r="B1077" s="5" t="s">
        <v>1904</v>
      </c>
      <c r="C1077" s="5" t="s">
        <v>1270</v>
      </c>
      <c r="D1077" s="5" t="s">
        <v>1170</v>
      </c>
      <c r="J1077" s="19" t="s">
        <v>2126</v>
      </c>
      <c r="O1077" s="12" t="s">
        <v>2459</v>
      </c>
      <c r="T1077" s="12" t="s">
        <v>1713</v>
      </c>
      <c r="U1077" s="5" t="s">
        <v>1713</v>
      </c>
    </row>
    <row r="1078" spans="1:21" x14ac:dyDescent="0.2">
      <c r="A1078" s="3" t="s">
        <v>2879</v>
      </c>
      <c r="B1078" s="5" t="s">
        <v>1905</v>
      </c>
      <c r="C1078" s="5" t="s">
        <v>1270</v>
      </c>
      <c r="D1078" s="5" t="s">
        <v>1170</v>
      </c>
      <c r="J1078" s="19" t="s">
        <v>2127</v>
      </c>
      <c r="O1078" s="14" t="s">
        <v>2425</v>
      </c>
      <c r="T1078" s="12" t="s">
        <v>2315</v>
      </c>
      <c r="U1078" s="5" t="s">
        <v>2315</v>
      </c>
    </row>
    <row r="1079" spans="1:21" x14ac:dyDescent="0.2">
      <c r="A1079" s="3" t="s">
        <v>2847</v>
      </c>
      <c r="B1079" s="5" t="s">
        <v>1873</v>
      </c>
      <c r="C1079" s="5" t="s">
        <v>1169</v>
      </c>
      <c r="J1079" s="19" t="s">
        <v>2095</v>
      </c>
      <c r="O1079" s="12" t="s">
        <v>2459</v>
      </c>
      <c r="T1079" s="12" t="s">
        <v>1713</v>
      </c>
      <c r="U1079" s="5" t="s">
        <v>1713</v>
      </c>
    </row>
    <row r="1080" spans="1:21" x14ac:dyDescent="0.2">
      <c r="A1080" s="3" t="s">
        <v>2973</v>
      </c>
      <c r="B1080" s="5" t="s">
        <v>2014</v>
      </c>
      <c r="C1080" s="5" t="s">
        <v>1210</v>
      </c>
      <c r="D1080" s="5" t="s">
        <v>1181</v>
      </c>
      <c r="J1080" s="19" t="s">
        <v>2236</v>
      </c>
      <c r="O1080" s="12" t="s">
        <v>2492</v>
      </c>
      <c r="T1080" s="12" t="s">
        <v>1713</v>
      </c>
      <c r="U1080" s="5" t="s">
        <v>1713</v>
      </c>
    </row>
    <row r="1081" spans="1:21" x14ac:dyDescent="0.2">
      <c r="A1081" s="3" t="s">
        <v>2974</v>
      </c>
      <c r="B1081" s="5" t="s">
        <v>2015</v>
      </c>
      <c r="C1081" s="5" t="s">
        <v>1210</v>
      </c>
      <c r="D1081" s="5" t="s">
        <v>1181</v>
      </c>
      <c r="J1081" s="19" t="s">
        <v>2237</v>
      </c>
      <c r="O1081" s="12" t="s">
        <v>1804</v>
      </c>
      <c r="T1081" s="12" t="s">
        <v>2375</v>
      </c>
      <c r="U1081" s="5" t="s">
        <v>2375</v>
      </c>
    </row>
    <row r="1082" spans="1:21" x14ac:dyDescent="0.2">
      <c r="A1082" s="3" t="s">
        <v>2975</v>
      </c>
      <c r="B1082" s="5" t="s">
        <v>2016</v>
      </c>
      <c r="C1082" s="5" t="s">
        <v>1210</v>
      </c>
      <c r="D1082" s="5" t="s">
        <v>1270</v>
      </c>
      <c r="J1082" s="19" t="s">
        <v>2238</v>
      </c>
      <c r="O1082" s="14" t="s">
        <v>2417</v>
      </c>
      <c r="T1082" s="12" t="s">
        <v>2376</v>
      </c>
      <c r="U1082" s="5" t="s">
        <v>2376</v>
      </c>
    </row>
    <row r="1083" spans="1:21" x14ac:dyDescent="0.2">
      <c r="A1083" s="3" t="s">
        <v>2848</v>
      </c>
      <c r="B1083" s="5" t="s">
        <v>1874</v>
      </c>
      <c r="C1083" s="5" t="s">
        <v>1169</v>
      </c>
      <c r="J1083" s="19" t="s">
        <v>2096</v>
      </c>
      <c r="O1083" s="14" t="s">
        <v>2423</v>
      </c>
      <c r="T1083" s="12" t="s">
        <v>2296</v>
      </c>
      <c r="U1083" s="5" t="s">
        <v>2296</v>
      </c>
    </row>
    <row r="1084" spans="1:21" x14ac:dyDescent="0.2">
      <c r="A1084" s="3" t="s">
        <v>2843</v>
      </c>
      <c r="B1084" s="5" t="s">
        <v>1866</v>
      </c>
      <c r="C1084" s="5" t="s">
        <v>1179</v>
      </c>
      <c r="J1084" s="19" t="s">
        <v>2088</v>
      </c>
      <c r="O1084" s="14" t="s">
        <v>2432</v>
      </c>
      <c r="T1084" s="12" t="s">
        <v>2291</v>
      </c>
      <c r="U1084" s="5" t="s">
        <v>2291</v>
      </c>
    </row>
    <row r="1085" spans="1:21" x14ac:dyDescent="0.2">
      <c r="A1085" s="3" t="s">
        <v>2777</v>
      </c>
      <c r="B1085" s="23" t="s">
        <v>333</v>
      </c>
      <c r="C1085" s="5" t="s">
        <v>1270</v>
      </c>
      <c r="D1085" s="5" t="s">
        <v>1174</v>
      </c>
      <c r="F1085" s="4" t="s">
        <v>2779</v>
      </c>
      <c r="K1085" s="18"/>
      <c r="L1085" s="21" t="s">
        <v>2526</v>
      </c>
      <c r="P1085" s="18"/>
      <c r="U1085" s="5" t="s">
        <v>1713</v>
      </c>
    </row>
    <row r="1086" spans="1:21" x14ac:dyDescent="0.2">
      <c r="A1086" s="3" t="s">
        <v>2778</v>
      </c>
      <c r="B1086" s="23" t="s">
        <v>334</v>
      </c>
      <c r="C1086" s="5" t="s">
        <v>1270</v>
      </c>
      <c r="D1086" s="5" t="s">
        <v>1174</v>
      </c>
      <c r="F1086" s="4" t="s">
        <v>2780</v>
      </c>
      <c r="K1086" s="18"/>
      <c r="L1086" s="21" t="s">
        <v>2527</v>
      </c>
      <c r="P1086" s="18"/>
      <c r="Q1086" s="21" t="s">
        <v>965</v>
      </c>
      <c r="U1086" s="5" t="s">
        <v>965</v>
      </c>
    </row>
    <row r="1087" spans="1:21" x14ac:dyDescent="0.2">
      <c r="A1087" s="3" t="s">
        <v>2844</v>
      </c>
      <c r="B1087" s="5" t="s">
        <v>3401</v>
      </c>
      <c r="C1087" s="5" t="s">
        <v>1179</v>
      </c>
      <c r="D1087" s="5" t="s">
        <v>1206</v>
      </c>
      <c r="E1087" s="18" t="s">
        <v>2061</v>
      </c>
      <c r="K1087" s="20" t="s">
        <v>3472</v>
      </c>
      <c r="O1087" s="13"/>
      <c r="P1087" s="20" t="s">
        <v>1713</v>
      </c>
      <c r="U1087" s="5" t="s">
        <v>1713</v>
      </c>
    </row>
    <row r="1088" spans="1:21" x14ac:dyDescent="0.2">
      <c r="A1088" s="3" t="s">
        <v>2844</v>
      </c>
      <c r="B1088" s="5" t="s">
        <v>1867</v>
      </c>
      <c r="C1088" s="5" t="s">
        <v>1179</v>
      </c>
      <c r="J1088" s="19" t="s">
        <v>2089</v>
      </c>
      <c r="O1088" s="14" t="s">
        <v>2417</v>
      </c>
      <c r="T1088" s="12" t="s">
        <v>2292</v>
      </c>
      <c r="U1088" s="5" t="s">
        <v>2292</v>
      </c>
    </row>
    <row r="1089" spans="1:21" x14ac:dyDescent="0.2">
      <c r="A1089" s="3" t="s">
        <v>3402</v>
      </c>
      <c r="B1089" s="5" t="s">
        <v>3403</v>
      </c>
      <c r="C1089" s="5" t="s">
        <v>1220</v>
      </c>
      <c r="D1089" s="5" t="s">
        <v>1214</v>
      </c>
      <c r="E1089" s="18" t="s">
        <v>2062</v>
      </c>
      <c r="K1089" s="20" t="s">
        <v>3473</v>
      </c>
      <c r="P1089" s="20" t="s">
        <v>1713</v>
      </c>
      <c r="U1089" s="5" t="s">
        <v>1713</v>
      </c>
    </row>
    <row r="1090" spans="1:21" x14ac:dyDescent="0.2">
      <c r="A1090" s="3" t="s">
        <v>2874</v>
      </c>
      <c r="B1090" s="5" t="s">
        <v>1900</v>
      </c>
      <c r="C1090" s="5" t="s">
        <v>1206</v>
      </c>
      <c r="D1090" s="5" t="s">
        <v>1189</v>
      </c>
      <c r="J1090" s="19" t="s">
        <v>2122</v>
      </c>
      <c r="O1090" s="12" t="s">
        <v>2465</v>
      </c>
      <c r="T1090" s="12" t="s">
        <v>1713</v>
      </c>
      <c r="U1090" s="5" t="s">
        <v>1713</v>
      </c>
    </row>
    <row r="1091" spans="1:21" x14ac:dyDescent="0.2">
      <c r="A1091" s="3" t="s">
        <v>2875</v>
      </c>
      <c r="B1091" s="5" t="s">
        <v>1901</v>
      </c>
      <c r="C1091" s="5" t="s">
        <v>1206</v>
      </c>
      <c r="D1091" s="5" t="s">
        <v>1189</v>
      </c>
      <c r="J1091" s="19" t="s">
        <v>2123</v>
      </c>
      <c r="O1091" s="12" t="s">
        <v>1804</v>
      </c>
      <c r="T1091" s="12" t="s">
        <v>2312</v>
      </c>
      <c r="U1091" s="5" t="s">
        <v>2312</v>
      </c>
    </row>
    <row r="1092" spans="1:21" x14ac:dyDescent="0.2">
      <c r="A1092" s="3" t="s">
        <v>2876</v>
      </c>
      <c r="B1092" s="5" t="s">
        <v>1902</v>
      </c>
      <c r="C1092" s="5" t="s">
        <v>1206</v>
      </c>
      <c r="D1092" s="5" t="s">
        <v>1189</v>
      </c>
      <c r="J1092" s="19" t="s">
        <v>2124</v>
      </c>
      <c r="O1092" s="14" t="s">
        <v>2417</v>
      </c>
      <c r="T1092" s="12" t="s">
        <v>2313</v>
      </c>
      <c r="U1092" s="5" t="s">
        <v>2313</v>
      </c>
    </row>
    <row r="1093" spans="1:21" x14ac:dyDescent="0.2">
      <c r="A1093" s="3" t="s">
        <v>3405</v>
      </c>
      <c r="B1093" s="5" t="s">
        <v>3404</v>
      </c>
      <c r="C1093" s="5" t="s">
        <v>1220</v>
      </c>
      <c r="D1093" s="5" t="s">
        <v>1214</v>
      </c>
      <c r="E1093" s="18" t="s">
        <v>2063</v>
      </c>
      <c r="K1093" s="20" t="s">
        <v>3550</v>
      </c>
      <c r="P1093" s="20" t="s">
        <v>3435</v>
      </c>
      <c r="U1093" s="5" t="s">
        <v>3435</v>
      </c>
    </row>
    <row r="1094" spans="1:21" x14ac:dyDescent="0.2">
      <c r="A1094" s="3" t="s">
        <v>2927</v>
      </c>
      <c r="B1094" s="5" t="s">
        <v>1962</v>
      </c>
      <c r="C1094" s="5" t="s">
        <v>1168</v>
      </c>
      <c r="D1094" s="5" t="s">
        <v>1169</v>
      </c>
      <c r="J1094" s="19" t="s">
        <v>2184</v>
      </c>
      <c r="O1094" s="12" t="s">
        <v>1804</v>
      </c>
      <c r="T1094" s="12" t="s">
        <v>2349</v>
      </c>
      <c r="U1094" s="5" t="s">
        <v>2349</v>
      </c>
    </row>
    <row r="1095" spans="1:21" x14ac:dyDescent="0.2">
      <c r="A1095" s="3" t="s">
        <v>2914</v>
      </c>
      <c r="B1095" s="5" t="s">
        <v>1945</v>
      </c>
      <c r="C1095" s="5" t="s">
        <v>1270</v>
      </c>
      <c r="D1095" s="5" t="s">
        <v>1223</v>
      </c>
      <c r="J1095" s="19" t="s">
        <v>2167</v>
      </c>
      <c r="O1095" s="14" t="s">
        <v>2417</v>
      </c>
      <c r="T1095" s="12" t="s">
        <v>1713</v>
      </c>
      <c r="U1095" s="5" t="s">
        <v>1713</v>
      </c>
    </row>
    <row r="1096" spans="1:21" x14ac:dyDescent="0.2">
      <c r="A1096" s="3" t="s">
        <v>2915</v>
      </c>
      <c r="B1096" s="5" t="s">
        <v>1946</v>
      </c>
      <c r="C1096" s="5" t="s">
        <v>1214</v>
      </c>
      <c r="D1096" s="5" t="s">
        <v>1189</v>
      </c>
      <c r="J1096" s="19" t="s">
        <v>2168</v>
      </c>
      <c r="O1096" s="14" t="s">
        <v>2430</v>
      </c>
      <c r="T1096" s="12" t="s">
        <v>1713</v>
      </c>
      <c r="U1096" s="5" t="s">
        <v>1713</v>
      </c>
    </row>
    <row r="1097" spans="1:21" x14ac:dyDescent="0.2">
      <c r="A1097" s="3" t="s">
        <v>2966</v>
      </c>
      <c r="B1097" s="5" t="s">
        <v>2007</v>
      </c>
      <c r="C1097" s="5" t="s">
        <v>1214</v>
      </c>
      <c r="D1097" s="5" t="s">
        <v>1210</v>
      </c>
      <c r="J1097" s="19" t="s">
        <v>2229</v>
      </c>
      <c r="O1097" s="12" t="s">
        <v>2489</v>
      </c>
      <c r="T1097" s="12" t="s">
        <v>1713</v>
      </c>
      <c r="U1097" s="5" t="s">
        <v>1713</v>
      </c>
    </row>
    <row r="1098" spans="1:21" x14ac:dyDescent="0.2">
      <c r="A1098" s="3" t="s">
        <v>2967</v>
      </c>
      <c r="B1098" s="5" t="s">
        <v>2008</v>
      </c>
      <c r="C1098" s="5" t="s">
        <v>1214</v>
      </c>
      <c r="D1098" s="5" t="s">
        <v>1210</v>
      </c>
      <c r="J1098" s="19" t="s">
        <v>2230</v>
      </c>
      <c r="O1098" s="12" t="s">
        <v>2489</v>
      </c>
      <c r="T1098" s="12" t="s">
        <v>2371</v>
      </c>
      <c r="U1098" s="5" t="s">
        <v>2371</v>
      </c>
    </row>
    <row r="1099" spans="1:21" x14ac:dyDescent="0.2">
      <c r="A1099" s="3" t="s">
        <v>2968</v>
      </c>
      <c r="B1099" s="5" t="s">
        <v>2009</v>
      </c>
      <c r="C1099" s="5" t="s">
        <v>1214</v>
      </c>
      <c r="D1099" s="5" t="s">
        <v>1210</v>
      </c>
      <c r="J1099" s="19" t="s">
        <v>2231</v>
      </c>
      <c r="O1099" s="14" t="s">
        <v>2417</v>
      </c>
      <c r="T1099" s="12" t="s">
        <v>2372</v>
      </c>
      <c r="U1099" s="5" t="s">
        <v>2372</v>
      </c>
    </row>
    <row r="1100" spans="1:21" x14ac:dyDescent="0.2">
      <c r="A1100" s="3" t="s">
        <v>2870</v>
      </c>
      <c r="B1100" s="5" t="s">
        <v>1896</v>
      </c>
      <c r="C1100" s="5" t="s">
        <v>1201</v>
      </c>
      <c r="D1100" s="5" t="s">
        <v>1206</v>
      </c>
      <c r="J1100" s="19" t="s">
        <v>2118</v>
      </c>
      <c r="O1100" s="14" t="s">
        <v>2464</v>
      </c>
      <c r="T1100" s="12" t="s">
        <v>1713</v>
      </c>
      <c r="U1100" s="5" t="s">
        <v>1713</v>
      </c>
    </row>
    <row r="1101" spans="1:21" x14ac:dyDescent="0.2">
      <c r="A1101" s="3" t="s">
        <v>2871</v>
      </c>
      <c r="B1101" s="5" t="s">
        <v>1897</v>
      </c>
      <c r="C1101" s="5" t="s">
        <v>1201</v>
      </c>
      <c r="D1101" s="5" t="s">
        <v>1206</v>
      </c>
      <c r="J1101" s="19" t="s">
        <v>2119</v>
      </c>
      <c r="O1101" s="14" t="s">
        <v>2417</v>
      </c>
      <c r="T1101" s="12" t="s">
        <v>2310</v>
      </c>
      <c r="U1101" s="5" t="s">
        <v>2310</v>
      </c>
    </row>
    <row r="1102" spans="1:21" x14ac:dyDescent="0.2">
      <c r="A1102" s="3" t="s">
        <v>2872</v>
      </c>
      <c r="B1102" s="5" t="s">
        <v>1898</v>
      </c>
      <c r="C1102" s="5" t="s">
        <v>1179</v>
      </c>
      <c r="J1102" s="19" t="s">
        <v>2120</v>
      </c>
      <c r="O1102" s="14" t="s">
        <v>2459</v>
      </c>
      <c r="T1102" s="12" t="s">
        <v>1713</v>
      </c>
      <c r="U1102" s="5" t="s">
        <v>1713</v>
      </c>
    </row>
    <row r="1103" spans="1:21" x14ac:dyDescent="0.2">
      <c r="A1103" s="3" t="s">
        <v>2873</v>
      </c>
      <c r="B1103" s="5" t="s">
        <v>1899</v>
      </c>
      <c r="C1103" s="5" t="s">
        <v>1179</v>
      </c>
      <c r="J1103" s="19" t="s">
        <v>2121</v>
      </c>
      <c r="O1103" s="14" t="s">
        <v>2428</v>
      </c>
      <c r="T1103" s="12" t="s">
        <v>2311</v>
      </c>
      <c r="U1103" s="5" t="s">
        <v>2311</v>
      </c>
    </row>
    <row r="1104" spans="1:21" x14ac:dyDescent="0.2">
      <c r="A1104" s="3" t="s">
        <v>2825</v>
      </c>
      <c r="B1104" s="5" t="s">
        <v>1843</v>
      </c>
      <c r="C1104" s="5" t="s">
        <v>1168</v>
      </c>
      <c r="D1104" s="5" t="s">
        <v>1169</v>
      </c>
      <c r="J1104" s="19" t="s">
        <v>2065</v>
      </c>
      <c r="O1104" s="12" t="s">
        <v>2455</v>
      </c>
      <c r="T1104" s="12" t="s">
        <v>2279</v>
      </c>
      <c r="U1104" s="5" t="s">
        <v>2279</v>
      </c>
    </row>
    <row r="1105" spans="1:21" x14ac:dyDescent="0.2">
      <c r="A1105" s="3" t="s">
        <v>2921</v>
      </c>
      <c r="B1105" s="5" t="s">
        <v>1953</v>
      </c>
      <c r="C1105" s="5" t="s">
        <v>1172</v>
      </c>
      <c r="D1105" s="5" t="s">
        <v>1270</v>
      </c>
      <c r="J1105" s="19" t="s">
        <v>2175</v>
      </c>
      <c r="O1105" s="12" t="s">
        <v>2481</v>
      </c>
      <c r="T1105" s="12" t="s">
        <v>1713</v>
      </c>
      <c r="U1105" s="5" t="s">
        <v>1713</v>
      </c>
    </row>
    <row r="1106" spans="1:21" x14ac:dyDescent="0.2">
      <c r="A1106" s="3" t="s">
        <v>2922</v>
      </c>
      <c r="B1106" s="5" t="s">
        <v>1954</v>
      </c>
      <c r="C1106" s="5" t="s">
        <v>1172</v>
      </c>
      <c r="D1106" s="5" t="s">
        <v>1270</v>
      </c>
      <c r="J1106" s="19" t="s">
        <v>2176</v>
      </c>
      <c r="O1106" s="14" t="s">
        <v>2423</v>
      </c>
      <c r="T1106" s="12" t="s">
        <v>2343</v>
      </c>
      <c r="U1106" s="5" t="s">
        <v>2343</v>
      </c>
    </row>
    <row r="1107" spans="1:21" x14ac:dyDescent="0.2">
      <c r="A1107" s="3" t="s">
        <v>2898</v>
      </c>
      <c r="B1107" s="5" t="s">
        <v>1929</v>
      </c>
      <c r="C1107" s="5" t="s">
        <v>1170</v>
      </c>
      <c r="D1107" s="5" t="s">
        <v>1181</v>
      </c>
      <c r="J1107" s="19" t="s">
        <v>2151</v>
      </c>
      <c r="O1107" s="12" t="s">
        <v>2474</v>
      </c>
      <c r="T1107" s="12" t="s">
        <v>1713</v>
      </c>
      <c r="U1107" s="5" t="s">
        <v>1713</v>
      </c>
    </row>
    <row r="1108" spans="1:21" x14ac:dyDescent="0.2">
      <c r="A1108" s="3" t="s">
        <v>2899</v>
      </c>
      <c r="B1108" s="5" t="s">
        <v>1930</v>
      </c>
      <c r="C1108" s="5" t="s">
        <v>1170</v>
      </c>
      <c r="D1108" s="5" t="s">
        <v>1181</v>
      </c>
      <c r="J1108" s="19" t="s">
        <v>2152</v>
      </c>
      <c r="O1108" s="14" t="s">
        <v>2441</v>
      </c>
      <c r="T1108" s="12" t="s">
        <v>2331</v>
      </c>
      <c r="U1108" s="5" t="s">
        <v>2331</v>
      </c>
    </row>
    <row r="1109" spans="1:21" x14ac:dyDescent="0.2">
      <c r="A1109" s="3" t="s">
        <v>2880</v>
      </c>
      <c r="B1109" s="5" t="s">
        <v>1906</v>
      </c>
      <c r="C1109" s="5" t="s">
        <v>1174</v>
      </c>
      <c r="D1109" s="5" t="s">
        <v>1171</v>
      </c>
      <c r="J1109" s="19" t="s">
        <v>2128</v>
      </c>
      <c r="O1109" s="12" t="s">
        <v>2466</v>
      </c>
      <c r="T1109" s="12" t="s">
        <v>1713</v>
      </c>
      <c r="U1109" s="5" t="s">
        <v>1713</v>
      </c>
    </row>
    <row r="1110" spans="1:21" x14ac:dyDescent="0.2">
      <c r="A1110" s="3" t="s">
        <v>2881</v>
      </c>
      <c r="B1110" s="5" t="s">
        <v>1907</v>
      </c>
      <c r="C1110" s="5" t="s">
        <v>1249</v>
      </c>
      <c r="D1110" s="5" t="s">
        <v>1171</v>
      </c>
      <c r="J1110" s="19" t="s">
        <v>2129</v>
      </c>
      <c r="O1110" s="14" t="s">
        <v>2417</v>
      </c>
      <c r="T1110" s="12" t="s">
        <v>2316</v>
      </c>
      <c r="U1110" s="5" t="s">
        <v>2316</v>
      </c>
    </row>
    <row r="1111" spans="1:21" x14ac:dyDescent="0.2">
      <c r="A1111" s="3" t="s">
        <v>2893</v>
      </c>
      <c r="B1111" s="5" t="s">
        <v>1924</v>
      </c>
      <c r="C1111" s="5" t="s">
        <v>1223</v>
      </c>
      <c r="J1111" s="19" t="s">
        <v>2146</v>
      </c>
      <c r="O1111" s="12" t="s">
        <v>2472</v>
      </c>
      <c r="T1111" s="12" t="s">
        <v>1713</v>
      </c>
      <c r="U1111" s="5" t="s">
        <v>1713</v>
      </c>
    </row>
    <row r="1112" spans="1:21" x14ac:dyDescent="0.2">
      <c r="A1112" s="3" t="s">
        <v>2894</v>
      </c>
      <c r="B1112" s="5" t="s">
        <v>1925</v>
      </c>
      <c r="C1112" s="5" t="s">
        <v>1223</v>
      </c>
      <c r="J1112" s="19" t="s">
        <v>2147</v>
      </c>
      <c r="O1112" s="14" t="s">
        <v>2440</v>
      </c>
      <c r="T1112" s="12" t="s">
        <v>2328</v>
      </c>
      <c r="U1112" s="5" t="s">
        <v>2328</v>
      </c>
    </row>
    <row r="1113" spans="1:21" x14ac:dyDescent="0.2">
      <c r="A1113" s="3" t="s">
        <v>2916</v>
      </c>
      <c r="B1113" s="5" t="s">
        <v>1947</v>
      </c>
      <c r="C1113" s="5" t="s">
        <v>1270</v>
      </c>
      <c r="J1113" s="19" t="s">
        <v>2169</v>
      </c>
      <c r="O1113" s="14" t="s">
        <v>2417</v>
      </c>
      <c r="T1113" s="12" t="s">
        <v>1713</v>
      </c>
      <c r="U1113" s="5" t="s">
        <v>1713</v>
      </c>
    </row>
    <row r="1114" spans="1:21" x14ac:dyDescent="0.2">
      <c r="A1114" s="3" t="s">
        <v>2845</v>
      </c>
      <c r="B1114" s="5" t="s">
        <v>1869</v>
      </c>
      <c r="C1114" s="5" t="s">
        <v>1189</v>
      </c>
      <c r="J1114" s="19" t="s">
        <v>2091</v>
      </c>
      <c r="O1114" s="14" t="s">
        <v>2433</v>
      </c>
      <c r="T1114" s="12" t="s">
        <v>2293</v>
      </c>
      <c r="U1114" s="5" t="s">
        <v>2293</v>
      </c>
    </row>
    <row r="1115" spans="1:21" x14ac:dyDescent="0.2">
      <c r="A1115" s="3" t="s">
        <v>2946</v>
      </c>
      <c r="B1115" s="5" t="s">
        <v>1982</v>
      </c>
      <c r="C1115" s="5" t="s">
        <v>1220</v>
      </c>
      <c r="J1115" s="19" t="s">
        <v>2204</v>
      </c>
      <c r="O1115" s="12" t="s">
        <v>2478</v>
      </c>
      <c r="T1115" s="12" t="s">
        <v>1713</v>
      </c>
      <c r="U1115" s="5" t="s">
        <v>1713</v>
      </c>
    </row>
    <row r="1116" spans="1:21" x14ac:dyDescent="0.2">
      <c r="A1116" s="3" t="s">
        <v>2947</v>
      </c>
      <c r="B1116" s="5" t="s">
        <v>1983</v>
      </c>
      <c r="C1116" s="5" t="s">
        <v>1220</v>
      </c>
      <c r="J1116" s="19" t="s">
        <v>2205</v>
      </c>
      <c r="O1116" s="12" t="s">
        <v>1804</v>
      </c>
      <c r="T1116" s="12" t="s">
        <v>2360</v>
      </c>
      <c r="U1116" s="5" t="s">
        <v>2360</v>
      </c>
    </row>
    <row r="1117" spans="1:21" x14ac:dyDescent="0.2">
      <c r="A1117" s="3" t="s">
        <v>2846</v>
      </c>
      <c r="B1117" s="5" t="s">
        <v>1870</v>
      </c>
      <c r="C1117" s="5" t="s">
        <v>1189</v>
      </c>
      <c r="J1117" s="19" t="s">
        <v>2092</v>
      </c>
      <c r="O1117" s="14" t="s">
        <v>2434</v>
      </c>
      <c r="T1117" s="12" t="s">
        <v>2294</v>
      </c>
      <c r="U1117" s="5" t="s">
        <v>2294</v>
      </c>
    </row>
    <row r="1118" spans="1:21" x14ac:dyDescent="0.2">
      <c r="A1118" s="3" t="s">
        <v>2986</v>
      </c>
      <c r="B1118" s="5" t="s">
        <v>2028</v>
      </c>
      <c r="C1118" s="5" t="s">
        <v>1249</v>
      </c>
      <c r="J1118" s="19" t="s">
        <v>2250</v>
      </c>
      <c r="O1118" s="14" t="s">
        <v>2495</v>
      </c>
      <c r="T1118" s="12" t="s">
        <v>1713</v>
      </c>
      <c r="U1118" s="5" t="s">
        <v>1713</v>
      </c>
    </row>
    <row r="1119" spans="1:21" x14ac:dyDescent="0.2">
      <c r="A1119" s="3" t="s">
        <v>2987</v>
      </c>
      <c r="B1119" s="5" t="s">
        <v>2029</v>
      </c>
      <c r="C1119" s="5" t="s">
        <v>1249</v>
      </c>
      <c r="J1119" s="19" t="s">
        <v>2251</v>
      </c>
      <c r="O1119" s="12" t="s">
        <v>1804</v>
      </c>
      <c r="T1119" s="12" t="s">
        <v>2383</v>
      </c>
      <c r="U1119" s="5" t="s">
        <v>2383</v>
      </c>
    </row>
    <row r="1120" spans="1:21" x14ac:dyDescent="0.2">
      <c r="A1120" s="3" t="s">
        <v>2988</v>
      </c>
      <c r="B1120" s="5" t="s">
        <v>2030</v>
      </c>
      <c r="C1120" s="5" t="s">
        <v>1249</v>
      </c>
      <c r="D1120" s="5" t="s">
        <v>1171</v>
      </c>
      <c r="J1120" s="19" t="s">
        <v>2252</v>
      </c>
      <c r="O1120" s="14" t="s">
        <v>2439</v>
      </c>
      <c r="T1120" s="12" t="s">
        <v>2384</v>
      </c>
      <c r="U1120" s="5" t="s">
        <v>2384</v>
      </c>
    </row>
    <row r="1121" spans="1:21" x14ac:dyDescent="0.2">
      <c r="A1121" s="3" t="s">
        <v>2990</v>
      </c>
      <c r="B1121" s="5" t="s">
        <v>2033</v>
      </c>
      <c r="C1121" s="5" t="s">
        <v>1214</v>
      </c>
      <c r="D1121" s="5" t="s">
        <v>1206</v>
      </c>
      <c r="J1121" s="19" t="s">
        <v>2255</v>
      </c>
      <c r="O1121" s="12" t="s">
        <v>2459</v>
      </c>
      <c r="T1121" s="12" t="s">
        <v>1713</v>
      </c>
      <c r="U1121" s="5" t="s">
        <v>1713</v>
      </c>
    </row>
    <row r="1122" spans="1:21" x14ac:dyDescent="0.2">
      <c r="A1122" s="3" t="s">
        <v>2991</v>
      </c>
      <c r="B1122" s="5" t="s">
        <v>2034</v>
      </c>
      <c r="C1122" s="5" t="s">
        <v>1214</v>
      </c>
      <c r="D1122" s="5" t="s">
        <v>1206</v>
      </c>
      <c r="J1122" s="19" t="s">
        <v>2256</v>
      </c>
      <c r="O1122" s="12" t="s">
        <v>2459</v>
      </c>
      <c r="T1122" s="12" t="s">
        <v>2386</v>
      </c>
      <c r="U1122" s="5" t="s">
        <v>2386</v>
      </c>
    </row>
    <row r="1123" spans="1:21" x14ac:dyDescent="0.2">
      <c r="A1123" s="3" t="s">
        <v>2992</v>
      </c>
      <c r="B1123" s="5" t="s">
        <v>2035</v>
      </c>
      <c r="C1123" s="5" t="s">
        <v>1214</v>
      </c>
      <c r="D1123" s="5" t="s">
        <v>1206</v>
      </c>
      <c r="J1123" s="19" t="s">
        <v>2257</v>
      </c>
      <c r="O1123" s="14" t="s">
        <v>2417</v>
      </c>
      <c r="T1123" s="12" t="s">
        <v>2387</v>
      </c>
      <c r="U1123" s="5" t="s">
        <v>2387</v>
      </c>
    </row>
    <row r="1124" spans="1:21" x14ac:dyDescent="0.2">
      <c r="A1124" s="3" t="s">
        <v>3406</v>
      </c>
      <c r="B1124" s="5" t="s">
        <v>3407</v>
      </c>
      <c r="C1124" s="5" t="s">
        <v>1220</v>
      </c>
      <c r="E1124" s="18" t="s">
        <v>2072</v>
      </c>
      <c r="K1124" s="20" t="s">
        <v>3440</v>
      </c>
      <c r="U1124" s="5" t="s">
        <v>1713</v>
      </c>
    </row>
    <row r="1125" spans="1:21" x14ac:dyDescent="0.2">
      <c r="A1125" s="3" t="s">
        <v>3408</v>
      </c>
      <c r="B1125" s="5" t="s">
        <v>3409</v>
      </c>
      <c r="C1125" s="5" t="s">
        <v>1220</v>
      </c>
      <c r="D1125" s="5" t="s">
        <v>1189</v>
      </c>
      <c r="E1125" s="18" t="s">
        <v>2073</v>
      </c>
      <c r="K1125" s="20" t="s">
        <v>3550</v>
      </c>
      <c r="P1125" s="20" t="s">
        <v>3441</v>
      </c>
      <c r="U1125" s="5" t="s">
        <v>3441</v>
      </c>
    </row>
    <row r="1126" spans="1:21" x14ac:dyDescent="0.2">
      <c r="A1126" s="3" t="s">
        <v>2928</v>
      </c>
      <c r="B1126" s="5" t="s">
        <v>1963</v>
      </c>
      <c r="C1126" s="5" t="s">
        <v>1168</v>
      </c>
      <c r="D1126" s="5" t="s">
        <v>1169</v>
      </c>
      <c r="J1126" s="19" t="s">
        <v>2185</v>
      </c>
      <c r="O1126" s="12" t="s">
        <v>1804</v>
      </c>
      <c r="T1126" s="12" t="s">
        <v>2350</v>
      </c>
      <c r="U1126" s="5" t="s">
        <v>2350</v>
      </c>
    </row>
    <row r="1127" spans="1:21" x14ac:dyDescent="0.2">
      <c r="A1127" s="3" t="s">
        <v>2824</v>
      </c>
      <c r="B1127" s="5" t="s">
        <v>1842</v>
      </c>
      <c r="C1127" s="5" t="s">
        <v>1168</v>
      </c>
      <c r="D1127" s="5" t="s">
        <v>1169</v>
      </c>
      <c r="J1127" s="19" t="s">
        <v>2064</v>
      </c>
      <c r="O1127" s="12" t="s">
        <v>2454</v>
      </c>
      <c r="T1127" s="12" t="s">
        <v>1713</v>
      </c>
      <c r="U1127" s="5" t="s">
        <v>1713</v>
      </c>
    </row>
    <row r="1128" spans="1:21" x14ac:dyDescent="0.2">
      <c r="A1128" s="3" t="s">
        <v>2826</v>
      </c>
      <c r="B1128" s="5" t="s">
        <v>1844</v>
      </c>
      <c r="C1128" s="5" t="s">
        <v>1168</v>
      </c>
      <c r="D1128" s="5" t="s">
        <v>1169</v>
      </c>
      <c r="J1128" s="19" t="s">
        <v>2066</v>
      </c>
      <c r="O1128" s="12" t="s">
        <v>2417</v>
      </c>
      <c r="T1128" s="12" t="s">
        <v>2280</v>
      </c>
      <c r="U1128" s="5" t="s">
        <v>2280</v>
      </c>
    </row>
    <row r="1129" spans="1:21" x14ac:dyDescent="0.2">
      <c r="A1129" s="3" t="s">
        <v>2891</v>
      </c>
      <c r="B1129" s="5" t="s">
        <v>1922</v>
      </c>
      <c r="C1129" s="5" t="s">
        <v>1174</v>
      </c>
      <c r="J1129" s="19" t="s">
        <v>2144</v>
      </c>
      <c r="O1129" s="12" t="s">
        <v>2471</v>
      </c>
      <c r="T1129" s="12" t="s">
        <v>1713</v>
      </c>
      <c r="U1129" s="5" t="s">
        <v>1713</v>
      </c>
    </row>
    <row r="1130" spans="1:21" x14ac:dyDescent="0.2">
      <c r="A1130" s="3" t="s">
        <v>2892</v>
      </c>
      <c r="B1130" s="5" t="s">
        <v>1923</v>
      </c>
      <c r="C1130" s="5" t="s">
        <v>1174</v>
      </c>
      <c r="J1130" s="19" t="s">
        <v>2145</v>
      </c>
      <c r="O1130" s="14" t="s">
        <v>2439</v>
      </c>
      <c r="T1130" s="12" t="s">
        <v>2327</v>
      </c>
      <c r="U1130" s="5" t="s">
        <v>2327</v>
      </c>
    </row>
    <row r="1131" spans="1:21" x14ac:dyDescent="0.2">
      <c r="A1131" s="3" t="s">
        <v>2910</v>
      </c>
      <c r="B1131" s="5" t="s">
        <v>1941</v>
      </c>
      <c r="C1131" s="5" t="s">
        <v>1249</v>
      </c>
      <c r="D1131" s="5" t="s">
        <v>1181</v>
      </c>
      <c r="J1131" s="19" t="s">
        <v>2163</v>
      </c>
      <c r="O1131" s="12" t="s">
        <v>2474</v>
      </c>
      <c r="T1131" s="12" t="s">
        <v>1713</v>
      </c>
      <c r="U1131" s="5" t="s">
        <v>1713</v>
      </c>
    </row>
    <row r="1132" spans="1:21" x14ac:dyDescent="0.2">
      <c r="A1132" s="3" t="s">
        <v>2911</v>
      </c>
      <c r="B1132" s="5" t="s">
        <v>1942</v>
      </c>
      <c r="C1132" s="5" t="s">
        <v>1249</v>
      </c>
      <c r="D1132" s="5" t="s">
        <v>1181</v>
      </c>
      <c r="J1132" s="19" t="s">
        <v>2164</v>
      </c>
      <c r="O1132" s="12" t="s">
        <v>1804</v>
      </c>
      <c r="T1132" s="12" t="s">
        <v>2338</v>
      </c>
      <c r="U1132" s="5" t="s">
        <v>2338</v>
      </c>
    </row>
    <row r="1133" spans="1:21" x14ac:dyDescent="0.2">
      <c r="A1133" s="3" t="s">
        <v>2912</v>
      </c>
      <c r="B1133" s="5" t="s">
        <v>1943</v>
      </c>
      <c r="C1133" s="5" t="s">
        <v>1249</v>
      </c>
      <c r="D1133" s="5" t="s">
        <v>1181</v>
      </c>
      <c r="J1133" s="19" t="s">
        <v>2165</v>
      </c>
      <c r="O1133" s="14" t="s">
        <v>2417</v>
      </c>
      <c r="T1133" s="12" t="s">
        <v>2339</v>
      </c>
      <c r="U1133" s="5" t="s">
        <v>2339</v>
      </c>
    </row>
    <row r="1134" spans="1:21" x14ac:dyDescent="0.2">
      <c r="A1134" s="3" t="s">
        <v>2917</v>
      </c>
      <c r="B1134" s="5" t="s">
        <v>1948</v>
      </c>
      <c r="C1134" s="5" t="s">
        <v>1201</v>
      </c>
      <c r="J1134" s="19" t="s">
        <v>2170</v>
      </c>
      <c r="O1134" s="12" t="s">
        <v>2479</v>
      </c>
      <c r="T1134" s="12" t="s">
        <v>1713</v>
      </c>
      <c r="U1134" s="5" t="s">
        <v>1713</v>
      </c>
    </row>
    <row r="1135" spans="1:21" x14ac:dyDescent="0.2">
      <c r="A1135" s="3" t="s">
        <v>2918</v>
      </c>
      <c r="B1135" s="5" t="s">
        <v>1949</v>
      </c>
      <c r="C1135" s="5" t="s">
        <v>1201</v>
      </c>
      <c r="D1135" s="5" t="s">
        <v>1214</v>
      </c>
      <c r="J1135" s="19" t="s">
        <v>2171</v>
      </c>
      <c r="O1135" s="14" t="s">
        <v>2417</v>
      </c>
      <c r="T1135" s="12" t="s">
        <v>2340</v>
      </c>
      <c r="U1135" s="5" t="s">
        <v>2340</v>
      </c>
    </row>
    <row r="1136" spans="1:21" x14ac:dyDescent="0.2">
      <c r="A1136" s="3" t="s">
        <v>2900</v>
      </c>
      <c r="B1136" s="5" t="s">
        <v>1931</v>
      </c>
      <c r="C1136" s="5" t="s">
        <v>1181</v>
      </c>
      <c r="J1136" s="19" t="s">
        <v>2153</v>
      </c>
      <c r="O1136" s="12" t="s">
        <v>2475</v>
      </c>
      <c r="T1136" s="12" t="s">
        <v>1713</v>
      </c>
      <c r="U1136" s="5" t="s">
        <v>1713</v>
      </c>
    </row>
    <row r="1137" spans="1:21" x14ac:dyDescent="0.2">
      <c r="A1137" s="3" t="s">
        <v>2901</v>
      </c>
      <c r="B1137" s="5" t="s">
        <v>1932</v>
      </c>
      <c r="C1137" s="5" t="s">
        <v>1181</v>
      </c>
      <c r="J1137" s="19" t="s">
        <v>2154</v>
      </c>
      <c r="O1137" s="14" t="s">
        <v>2417</v>
      </c>
      <c r="T1137" s="12" t="s">
        <v>2332</v>
      </c>
      <c r="U1137" s="5" t="s">
        <v>2332</v>
      </c>
    </row>
    <row r="1138" spans="1:21" x14ac:dyDescent="0.2">
      <c r="A1138" s="3" t="s">
        <v>2949</v>
      </c>
      <c r="B1138" s="5" t="s">
        <v>1985</v>
      </c>
      <c r="C1138" s="5" t="s">
        <v>1168</v>
      </c>
      <c r="D1138" s="5" t="s">
        <v>1220</v>
      </c>
      <c r="J1138" s="19" t="s">
        <v>2207</v>
      </c>
      <c r="O1138" s="12" t="s">
        <v>2478</v>
      </c>
      <c r="T1138" s="12" t="s">
        <v>1713</v>
      </c>
      <c r="U1138" s="5" t="s">
        <v>1713</v>
      </c>
    </row>
    <row r="1139" spans="1:21" x14ac:dyDescent="0.2">
      <c r="A1139" s="3" t="s">
        <v>2950</v>
      </c>
      <c r="B1139" s="5" t="s">
        <v>1986</v>
      </c>
      <c r="C1139" s="5" t="s">
        <v>1168</v>
      </c>
      <c r="D1139" s="5" t="s">
        <v>1220</v>
      </c>
      <c r="J1139" s="19" t="s">
        <v>2208</v>
      </c>
      <c r="O1139" s="14" t="s">
        <v>2446</v>
      </c>
      <c r="T1139" s="12" t="s">
        <v>2362</v>
      </c>
      <c r="U1139" s="5" t="s">
        <v>2362</v>
      </c>
    </row>
    <row r="1140" spans="1:21" x14ac:dyDescent="0.2">
      <c r="A1140" s="3" t="s">
        <v>2888</v>
      </c>
      <c r="B1140" s="5" t="s">
        <v>1919</v>
      </c>
      <c r="C1140" s="5" t="s">
        <v>1168</v>
      </c>
      <c r="J1140" s="19" t="s">
        <v>2141</v>
      </c>
      <c r="O1140" s="14" t="s">
        <v>2417</v>
      </c>
      <c r="T1140" s="12" t="s">
        <v>2324</v>
      </c>
      <c r="U1140" s="5" t="s">
        <v>2324</v>
      </c>
    </row>
    <row r="1141" spans="1:21" x14ac:dyDescent="0.2">
      <c r="A1141" s="3" t="s">
        <v>2889</v>
      </c>
      <c r="B1141" s="5" t="s">
        <v>1920</v>
      </c>
      <c r="C1141" s="5" t="s">
        <v>1220</v>
      </c>
      <c r="J1141" s="19" t="s">
        <v>2142</v>
      </c>
      <c r="O1141" s="14" t="s">
        <v>2417</v>
      </c>
      <c r="T1141" s="12" t="s">
        <v>2325</v>
      </c>
      <c r="U1141" s="5" t="s">
        <v>2325</v>
      </c>
    </row>
    <row r="1142" spans="1:21" x14ac:dyDescent="0.2">
      <c r="A1142" s="3" t="s">
        <v>2877</v>
      </c>
      <c r="B1142" s="5" t="s">
        <v>1903</v>
      </c>
      <c r="C1142" s="5" t="s">
        <v>1206</v>
      </c>
      <c r="D1142" s="5" t="s">
        <v>1201</v>
      </c>
      <c r="J1142" s="19" t="s">
        <v>2125</v>
      </c>
      <c r="O1142" s="14" t="s">
        <v>2417</v>
      </c>
      <c r="T1142" s="12" t="s">
        <v>2314</v>
      </c>
      <c r="U1142" s="5" t="s">
        <v>2314</v>
      </c>
    </row>
    <row r="1143" spans="1:21" x14ac:dyDescent="0.2">
      <c r="A1143" s="3" t="s">
        <v>2948</v>
      </c>
      <c r="B1143" s="5" t="s">
        <v>1984</v>
      </c>
      <c r="C1143" s="5" t="s">
        <v>1220</v>
      </c>
      <c r="D1143" s="5" t="s">
        <v>1223</v>
      </c>
      <c r="J1143" s="19" t="s">
        <v>2206</v>
      </c>
      <c r="O1143" s="14" t="s">
        <v>2417</v>
      </c>
      <c r="T1143" s="12" t="s">
        <v>2361</v>
      </c>
      <c r="U1143" s="5" t="s">
        <v>2361</v>
      </c>
    </row>
    <row r="1144" spans="1:21" x14ac:dyDescent="0.2">
      <c r="A1144" s="3" t="s">
        <v>2805</v>
      </c>
      <c r="B1144" s="5" t="s">
        <v>1817</v>
      </c>
      <c r="C1144" s="5" t="s">
        <v>1170</v>
      </c>
      <c r="J1144" s="19" t="s">
        <v>2039</v>
      </c>
      <c r="O1144" s="12" t="s">
        <v>2449</v>
      </c>
      <c r="T1144" s="12" t="s">
        <v>1713</v>
      </c>
      <c r="U1144" s="5" t="s">
        <v>1713</v>
      </c>
    </row>
    <row r="1145" spans="1:21" x14ac:dyDescent="0.2">
      <c r="A1145" s="3" t="s">
        <v>2806</v>
      </c>
      <c r="B1145" s="5" t="s">
        <v>1818</v>
      </c>
      <c r="C1145" s="5" t="s">
        <v>1170</v>
      </c>
      <c r="D1145" s="5" t="s">
        <v>1201</v>
      </c>
      <c r="J1145" s="19" t="s">
        <v>2040</v>
      </c>
      <c r="O1145" s="12" t="s">
        <v>1804</v>
      </c>
      <c r="T1145" s="12" t="s">
        <v>2263</v>
      </c>
      <c r="U1145" s="5" t="s">
        <v>2263</v>
      </c>
    </row>
    <row r="1146" spans="1:21" x14ac:dyDescent="0.2">
      <c r="A1146" s="3" t="s">
        <v>2929</v>
      </c>
      <c r="B1146" s="5" t="s">
        <v>1964</v>
      </c>
      <c r="C1146" s="5" t="s">
        <v>1170</v>
      </c>
      <c r="J1146" s="19" t="s">
        <v>2186</v>
      </c>
      <c r="O1146" s="12" t="s">
        <v>2449</v>
      </c>
      <c r="T1146" s="12" t="s">
        <v>1713</v>
      </c>
      <c r="U1146" s="5" t="s">
        <v>1713</v>
      </c>
    </row>
    <row r="1147" spans="1:21" x14ac:dyDescent="0.2">
      <c r="A1147" s="3" t="s">
        <v>2807</v>
      </c>
      <c r="B1147" s="5" t="s">
        <v>1819</v>
      </c>
      <c r="C1147" s="5" t="s">
        <v>1170</v>
      </c>
      <c r="D1147" s="5" t="s">
        <v>1201</v>
      </c>
      <c r="J1147" s="19" t="s">
        <v>2041</v>
      </c>
      <c r="O1147" s="12" t="s">
        <v>1804</v>
      </c>
      <c r="T1147" s="12" t="s">
        <v>2264</v>
      </c>
      <c r="U1147" s="5" t="s">
        <v>2264</v>
      </c>
    </row>
    <row r="1148" spans="1:21" x14ac:dyDescent="0.2">
      <c r="A1148" s="3" t="s">
        <v>2822</v>
      </c>
      <c r="B1148" s="5" t="s">
        <v>1840</v>
      </c>
      <c r="C1148" s="5" t="s">
        <v>1174</v>
      </c>
      <c r="J1148" s="19" t="s">
        <v>2062</v>
      </c>
      <c r="O1148" s="13" t="s">
        <v>2422</v>
      </c>
      <c r="T1148" s="12" t="s">
        <v>1713</v>
      </c>
      <c r="U1148" s="5" t="s">
        <v>1713</v>
      </c>
    </row>
    <row r="1149" spans="1:21" x14ac:dyDescent="0.2">
      <c r="A1149" s="3" t="s">
        <v>2823</v>
      </c>
      <c r="B1149" s="5" t="s">
        <v>1841</v>
      </c>
      <c r="C1149" s="5" t="s">
        <v>1174</v>
      </c>
      <c r="J1149" s="19" t="s">
        <v>2063</v>
      </c>
      <c r="O1149" s="12" t="s">
        <v>2423</v>
      </c>
      <c r="T1149" s="12" t="s">
        <v>2278</v>
      </c>
      <c r="U1149" s="5" t="s">
        <v>2278</v>
      </c>
    </row>
    <row r="1150" spans="1:21" x14ac:dyDescent="0.2">
      <c r="A1150" s="3" t="s">
        <v>3412</v>
      </c>
      <c r="B1150" s="5" t="s">
        <v>3410</v>
      </c>
      <c r="C1150" s="5" t="s">
        <v>1181</v>
      </c>
      <c r="D1150" s="5" t="s">
        <v>1214</v>
      </c>
      <c r="E1150" s="18" t="s">
        <v>2085</v>
      </c>
      <c r="K1150" s="20" t="s">
        <v>3446</v>
      </c>
      <c r="P1150" s="20" t="s">
        <v>1713</v>
      </c>
      <c r="U1150" s="5" t="s">
        <v>1713</v>
      </c>
    </row>
    <row r="1151" spans="1:21" x14ac:dyDescent="0.2">
      <c r="A1151" s="3" t="s">
        <v>2864</v>
      </c>
      <c r="B1151" s="5" t="s">
        <v>1890</v>
      </c>
      <c r="C1151" s="5" t="s">
        <v>1168</v>
      </c>
      <c r="J1151" s="19" t="s">
        <v>2112</v>
      </c>
      <c r="O1151" s="14" t="s">
        <v>2438</v>
      </c>
      <c r="T1151" s="12" t="s">
        <v>1713</v>
      </c>
      <c r="U1151" s="5" t="s">
        <v>1713</v>
      </c>
    </row>
    <row r="1152" spans="1:21" x14ac:dyDescent="0.2">
      <c r="A1152" s="3" t="s">
        <v>2865</v>
      </c>
      <c r="B1152" s="5" t="s">
        <v>1891</v>
      </c>
      <c r="C1152" s="5" t="s">
        <v>1168</v>
      </c>
      <c r="J1152" s="19" t="s">
        <v>2113</v>
      </c>
      <c r="O1152" s="14" t="s">
        <v>2417</v>
      </c>
      <c r="T1152" s="12" t="s">
        <v>2307</v>
      </c>
      <c r="U1152" s="5" t="s">
        <v>2307</v>
      </c>
    </row>
    <row r="1153" spans="1:21" x14ac:dyDescent="0.2">
      <c r="A1153" s="3" t="s">
        <v>2866</v>
      </c>
      <c r="B1153" s="5" t="s">
        <v>1892</v>
      </c>
      <c r="C1153" s="5" t="s">
        <v>1170</v>
      </c>
      <c r="J1153" s="19" t="s">
        <v>2114</v>
      </c>
      <c r="O1153" s="14" t="s">
        <v>2438</v>
      </c>
      <c r="T1153" s="12" t="s">
        <v>1713</v>
      </c>
      <c r="U1153" s="5" t="s">
        <v>1713</v>
      </c>
    </row>
    <row r="1154" spans="1:21" x14ac:dyDescent="0.2">
      <c r="A1154" s="3" t="s">
        <v>2867</v>
      </c>
      <c r="B1154" s="5" t="s">
        <v>1893</v>
      </c>
      <c r="C1154" s="5" t="s">
        <v>1170</v>
      </c>
      <c r="J1154" s="19" t="s">
        <v>2115</v>
      </c>
      <c r="O1154" s="14" t="s">
        <v>2417</v>
      </c>
      <c r="T1154" s="12" t="s">
        <v>2308</v>
      </c>
      <c r="U1154" s="5" t="s">
        <v>2308</v>
      </c>
    </row>
    <row r="1155" spans="1:21" x14ac:dyDescent="0.2">
      <c r="A1155" s="3" t="s">
        <v>2868</v>
      </c>
      <c r="B1155" s="5" t="s">
        <v>1894</v>
      </c>
      <c r="C1155" s="5" t="s">
        <v>1172</v>
      </c>
      <c r="J1155" s="19" t="s">
        <v>2116</v>
      </c>
      <c r="O1155" s="14" t="s">
        <v>2438</v>
      </c>
      <c r="T1155" s="12" t="s">
        <v>1713</v>
      </c>
      <c r="U1155" s="5" t="s">
        <v>1713</v>
      </c>
    </row>
    <row r="1156" spans="1:21" x14ac:dyDescent="0.2">
      <c r="A1156" s="3" t="s">
        <v>2869</v>
      </c>
      <c r="B1156" s="5" t="s">
        <v>1895</v>
      </c>
      <c r="C1156" s="5" t="s">
        <v>1172</v>
      </c>
      <c r="J1156" s="19" t="s">
        <v>2117</v>
      </c>
      <c r="O1156" s="14" t="s">
        <v>2417</v>
      </c>
      <c r="T1156" s="12" t="s">
        <v>2309</v>
      </c>
      <c r="U1156" s="5" t="s">
        <v>2309</v>
      </c>
    </row>
    <row r="1157" spans="1:21" x14ac:dyDescent="0.2">
      <c r="A1157" s="3" t="s">
        <v>3413</v>
      </c>
      <c r="B1157" s="5" t="s">
        <v>3411</v>
      </c>
      <c r="C1157" s="5" t="s">
        <v>1181</v>
      </c>
      <c r="D1157" s="5" t="s">
        <v>1214</v>
      </c>
      <c r="E1157" s="18" t="s">
        <v>2086</v>
      </c>
      <c r="K1157" s="20" t="s">
        <v>3550</v>
      </c>
      <c r="P1157" s="20" t="s">
        <v>3447</v>
      </c>
      <c r="U1157" s="5" t="s">
        <v>3447</v>
      </c>
    </row>
    <row r="1158" spans="1:21" x14ac:dyDescent="0.2">
      <c r="A1158" s="3" t="s">
        <v>2902</v>
      </c>
      <c r="B1158" s="5" t="s">
        <v>1933</v>
      </c>
      <c r="C1158" s="5" t="s">
        <v>1181</v>
      </c>
      <c r="J1158" s="19" t="s">
        <v>2155</v>
      </c>
      <c r="O1158" s="12" t="s">
        <v>2476</v>
      </c>
      <c r="T1158" s="12" t="s">
        <v>1713</v>
      </c>
      <c r="U1158" s="5" t="s">
        <v>1713</v>
      </c>
    </row>
    <row r="1159" spans="1:21" x14ac:dyDescent="0.2">
      <c r="A1159" s="3" t="s">
        <v>3414</v>
      </c>
      <c r="B1159" s="5" t="s">
        <v>3417</v>
      </c>
      <c r="C1159" s="5" t="s">
        <v>1270</v>
      </c>
      <c r="E1159" s="18" t="s">
        <v>2087</v>
      </c>
      <c r="K1159" s="20" t="s">
        <v>3461</v>
      </c>
      <c r="P1159" s="20" t="s">
        <v>1713</v>
      </c>
      <c r="U1159" s="5" t="s">
        <v>1713</v>
      </c>
    </row>
    <row r="1160" spans="1:21" x14ac:dyDescent="0.2">
      <c r="A1160" s="3" t="s">
        <v>2781</v>
      </c>
      <c r="B1160" s="23" t="s">
        <v>377</v>
      </c>
      <c r="C1160" s="5" t="s">
        <v>1214</v>
      </c>
      <c r="F1160" s="4" t="s">
        <v>2804</v>
      </c>
      <c r="K1160" s="18"/>
      <c r="L1160" s="21" t="s">
        <v>2714</v>
      </c>
      <c r="P1160" s="18"/>
      <c r="Q1160" s="21" t="s">
        <v>977</v>
      </c>
      <c r="U1160" s="5" t="s">
        <v>977</v>
      </c>
    </row>
    <row r="1161" spans="1:21" x14ac:dyDescent="0.2">
      <c r="A1161" s="3" t="s">
        <v>2903</v>
      </c>
      <c r="B1161" s="5" t="s">
        <v>1934</v>
      </c>
      <c r="C1161" s="5" t="s">
        <v>1181</v>
      </c>
      <c r="D1161" s="5" t="s">
        <v>1214</v>
      </c>
      <c r="J1161" s="19" t="s">
        <v>2156</v>
      </c>
      <c r="O1161" s="14" t="s">
        <v>2442</v>
      </c>
      <c r="T1161" s="12" t="s">
        <v>2333</v>
      </c>
      <c r="U1161" s="5" t="s">
        <v>2333</v>
      </c>
    </row>
    <row r="1162" spans="1:21" x14ac:dyDescent="0.2">
      <c r="A1162" s="3" t="s">
        <v>2882</v>
      </c>
      <c r="B1162" s="5" t="s">
        <v>1908</v>
      </c>
      <c r="C1162" s="5" t="s">
        <v>1174</v>
      </c>
      <c r="J1162" s="19" t="s">
        <v>2130</v>
      </c>
      <c r="O1162" s="12" t="s">
        <v>2467</v>
      </c>
      <c r="T1162" s="12" t="s">
        <v>1713</v>
      </c>
      <c r="U1162" s="5" t="s">
        <v>1713</v>
      </c>
    </row>
    <row r="1163" spans="1:21" x14ac:dyDescent="0.2">
      <c r="A1163" s="3" t="s">
        <v>3415</v>
      </c>
      <c r="B1163" s="5" t="s">
        <v>3416</v>
      </c>
      <c r="C1163" s="5" t="s">
        <v>1270</v>
      </c>
      <c r="E1163" s="18" t="s">
        <v>2088</v>
      </c>
      <c r="K1163" s="20" t="s">
        <v>3550</v>
      </c>
      <c r="P1163" s="20" t="s">
        <v>3448</v>
      </c>
      <c r="U1163" s="5" t="s">
        <v>3448</v>
      </c>
    </row>
    <row r="1164" spans="1:21" x14ac:dyDescent="0.2">
      <c r="A1164" s="3" t="s">
        <v>2855</v>
      </c>
      <c r="B1164" s="5" t="s">
        <v>1881</v>
      </c>
      <c r="C1164" s="5" t="s">
        <v>1173</v>
      </c>
      <c r="D1164" s="5" t="s">
        <v>1169</v>
      </c>
      <c r="J1164" s="19" t="s">
        <v>2103</v>
      </c>
      <c r="O1164" s="14" t="s">
        <v>2452</v>
      </c>
      <c r="T1164" s="12" t="s">
        <v>1713</v>
      </c>
      <c r="U1164" s="5" t="s">
        <v>1713</v>
      </c>
    </row>
    <row r="1165" spans="1:21" x14ac:dyDescent="0.2">
      <c r="A1165" s="3" t="s">
        <v>2856</v>
      </c>
      <c r="B1165" s="5" t="s">
        <v>1882</v>
      </c>
      <c r="C1165" s="5" t="s">
        <v>1173</v>
      </c>
      <c r="D1165" s="5" t="s">
        <v>1169</v>
      </c>
      <c r="J1165" s="19" t="s">
        <v>2104</v>
      </c>
      <c r="O1165" s="14" t="s">
        <v>2436</v>
      </c>
      <c r="T1165" s="12" t="s">
        <v>2301</v>
      </c>
      <c r="U1165" s="5" t="s">
        <v>2301</v>
      </c>
    </row>
    <row r="1166" spans="1:21" x14ac:dyDescent="0.2">
      <c r="A1166" s="3" t="s">
        <v>2857</v>
      </c>
      <c r="B1166" s="5" t="s">
        <v>1883</v>
      </c>
      <c r="C1166" s="5" t="s">
        <v>1173</v>
      </c>
      <c r="D1166" s="5" t="s">
        <v>1169</v>
      </c>
      <c r="J1166" s="19" t="s">
        <v>2105</v>
      </c>
      <c r="O1166" s="14" t="s">
        <v>2417</v>
      </c>
      <c r="T1166" s="12" t="s">
        <v>2302</v>
      </c>
      <c r="U1166" s="5" t="s">
        <v>2302</v>
      </c>
    </row>
    <row r="1167" spans="1:21" x14ac:dyDescent="0.2">
      <c r="A1167" s="3" t="s">
        <v>2904</v>
      </c>
      <c r="B1167" s="5" t="s">
        <v>1935</v>
      </c>
      <c r="C1167" s="5" t="s">
        <v>1181</v>
      </c>
      <c r="D1167" s="5" t="s">
        <v>1270</v>
      </c>
      <c r="J1167" s="19" t="s">
        <v>2157</v>
      </c>
      <c r="O1167" s="12" t="s">
        <v>2474</v>
      </c>
      <c r="T1167" s="12" t="s">
        <v>1713</v>
      </c>
      <c r="U1167" s="5" t="s">
        <v>1713</v>
      </c>
    </row>
    <row r="1168" spans="1:21" x14ac:dyDescent="0.2">
      <c r="A1168" s="3" t="s">
        <v>2905</v>
      </c>
      <c r="B1168" s="5" t="s">
        <v>1936</v>
      </c>
      <c r="C1168" s="5" t="s">
        <v>1181</v>
      </c>
      <c r="D1168" s="5" t="s">
        <v>1270</v>
      </c>
      <c r="J1168" s="19" t="s">
        <v>2158</v>
      </c>
      <c r="O1168" s="14" t="s">
        <v>2443</v>
      </c>
      <c r="T1168" s="12" t="s">
        <v>2334</v>
      </c>
      <c r="U1168" s="5" t="s">
        <v>2334</v>
      </c>
    </row>
    <row r="1169" spans="1:21" x14ac:dyDescent="0.2">
      <c r="A1169" s="3" t="s">
        <v>2906</v>
      </c>
      <c r="B1169" s="5" t="s">
        <v>1937</v>
      </c>
      <c r="C1169" s="5" t="s">
        <v>1181</v>
      </c>
      <c r="D1169" s="5" t="s">
        <v>1270</v>
      </c>
      <c r="J1169" s="19" t="s">
        <v>2159</v>
      </c>
      <c r="O1169" s="14" t="s">
        <v>2417</v>
      </c>
      <c r="T1169" s="12" t="s">
        <v>2335</v>
      </c>
      <c r="U1169" s="5" t="s">
        <v>2335</v>
      </c>
    </row>
    <row r="1170" spans="1:21" x14ac:dyDescent="0.2">
      <c r="A1170" s="3" t="s">
        <v>2796</v>
      </c>
      <c r="B1170" s="23" t="s">
        <v>509</v>
      </c>
      <c r="C1170" s="5" t="s">
        <v>1220</v>
      </c>
      <c r="F1170" s="4" t="s">
        <v>2797</v>
      </c>
      <c r="K1170" s="18"/>
      <c r="L1170" s="21" t="s">
        <v>2762</v>
      </c>
      <c r="P1170" s="18"/>
      <c r="U1170" s="5" t="s">
        <v>1713</v>
      </c>
    </row>
    <row r="1171" spans="1:21" x14ac:dyDescent="0.2">
      <c r="A1171" s="3" t="s">
        <v>2798</v>
      </c>
      <c r="B1171" s="23" t="s">
        <v>2799</v>
      </c>
      <c r="C1171" s="5" t="s">
        <v>1220</v>
      </c>
      <c r="F1171" s="4" t="s">
        <v>2800</v>
      </c>
      <c r="K1171" s="18"/>
      <c r="L1171" s="21" t="s">
        <v>3550</v>
      </c>
      <c r="P1171" s="18"/>
      <c r="Q1171" s="21" t="s">
        <v>1101</v>
      </c>
      <c r="U1171" s="5" t="s">
        <v>1101</v>
      </c>
    </row>
    <row r="1172" spans="1:21" x14ac:dyDescent="0.2">
      <c r="A1172" s="3" t="s">
        <v>2957</v>
      </c>
      <c r="B1172" s="5" t="s">
        <v>1997</v>
      </c>
      <c r="C1172" s="5" t="s">
        <v>1270</v>
      </c>
      <c r="D1172" s="5" t="s">
        <v>1201</v>
      </c>
      <c r="J1172" s="19" t="s">
        <v>2219</v>
      </c>
      <c r="O1172" s="12" t="s">
        <v>2484</v>
      </c>
      <c r="T1172" s="12" t="s">
        <v>1713</v>
      </c>
      <c r="U1172" s="5" t="s">
        <v>1713</v>
      </c>
    </row>
    <row r="1173" spans="1:21" x14ac:dyDescent="0.2">
      <c r="A1173" s="3" t="s">
        <v>2958</v>
      </c>
      <c r="B1173" s="5" t="s">
        <v>1998</v>
      </c>
      <c r="C1173" s="5" t="s">
        <v>1270</v>
      </c>
      <c r="D1173" s="5" t="s">
        <v>1201</v>
      </c>
      <c r="J1173" s="19" t="s">
        <v>2220</v>
      </c>
      <c r="O1173" s="14" t="s">
        <v>2417</v>
      </c>
      <c r="T1173" s="12" t="s">
        <v>2366</v>
      </c>
      <c r="U1173" s="5" t="s">
        <v>2366</v>
      </c>
    </row>
    <row r="1174" spans="1:21" x14ac:dyDescent="0.2">
      <c r="A1174" s="3" t="s">
        <v>2802</v>
      </c>
      <c r="B1174" s="23" t="s">
        <v>480</v>
      </c>
      <c r="C1174" s="5" t="s">
        <v>1181</v>
      </c>
      <c r="D1174" s="5" t="s">
        <v>1223</v>
      </c>
      <c r="F1174" s="4" t="s">
        <v>2803</v>
      </c>
      <c r="K1174" s="18"/>
      <c r="L1174" s="21" t="s">
        <v>2695</v>
      </c>
      <c r="P1174" s="18"/>
      <c r="U1174" s="5" t="s">
        <v>1713</v>
      </c>
    </row>
    <row r="1175" spans="1:21" x14ac:dyDescent="0.2">
      <c r="A1175" s="3" t="s">
        <v>2840</v>
      </c>
      <c r="B1175" s="5" t="s">
        <v>1862</v>
      </c>
      <c r="C1175" s="5" t="s">
        <v>1169</v>
      </c>
      <c r="J1175" s="19" t="s">
        <v>2084</v>
      </c>
      <c r="O1175" s="14" t="s">
        <v>2431</v>
      </c>
      <c r="T1175" s="12" t="s">
        <v>1713</v>
      </c>
      <c r="U1175" s="5" t="s">
        <v>1713</v>
      </c>
    </row>
    <row r="1176" spans="1:21" x14ac:dyDescent="0.2">
      <c r="A1176" s="3" t="s">
        <v>2841</v>
      </c>
      <c r="B1176" s="5" t="s">
        <v>1863</v>
      </c>
      <c r="C1176" s="5" t="s">
        <v>1169</v>
      </c>
      <c r="J1176" s="19" t="s">
        <v>2085</v>
      </c>
      <c r="O1176" s="14" t="s">
        <v>2417</v>
      </c>
      <c r="T1176" s="12" t="s">
        <v>2290</v>
      </c>
      <c r="U1176" s="5" t="s">
        <v>2290</v>
      </c>
    </row>
    <row r="1177" spans="1:21" x14ac:dyDescent="0.2">
      <c r="A1177" s="3" t="s">
        <v>2895</v>
      </c>
      <c r="B1177" s="5" t="s">
        <v>1926</v>
      </c>
      <c r="C1177" s="5" t="s">
        <v>1220</v>
      </c>
      <c r="J1177" s="19" t="s">
        <v>2148</v>
      </c>
      <c r="O1177" s="12" t="s">
        <v>2473</v>
      </c>
      <c r="T1177" s="12" t="s">
        <v>1713</v>
      </c>
      <c r="U1177" s="5" t="s">
        <v>1713</v>
      </c>
    </row>
    <row r="1178" spans="1:21" x14ac:dyDescent="0.2">
      <c r="A1178" s="3" t="s">
        <v>2896</v>
      </c>
      <c r="B1178" s="5" t="s">
        <v>1927</v>
      </c>
      <c r="C1178" s="5" t="s">
        <v>1220</v>
      </c>
      <c r="J1178" s="19" t="s">
        <v>2149</v>
      </c>
      <c r="O1178" s="12" t="s">
        <v>1804</v>
      </c>
      <c r="T1178" s="12" t="s">
        <v>2329</v>
      </c>
      <c r="U1178" s="5" t="s">
        <v>2329</v>
      </c>
    </row>
    <row r="1179" spans="1:21" x14ac:dyDescent="0.2">
      <c r="A1179" s="3" t="s">
        <v>2897</v>
      </c>
      <c r="B1179" s="5" t="s">
        <v>1928</v>
      </c>
      <c r="C1179" s="5" t="s">
        <v>1220</v>
      </c>
      <c r="J1179" s="19" t="s">
        <v>2150</v>
      </c>
      <c r="O1179" s="14" t="s">
        <v>2417</v>
      </c>
      <c r="T1179" s="12" t="s">
        <v>2330</v>
      </c>
      <c r="U1179" s="5" t="s">
        <v>2330</v>
      </c>
    </row>
    <row r="1180" spans="1:21" x14ac:dyDescent="0.2">
      <c r="A1180" s="3" t="s">
        <v>2953</v>
      </c>
      <c r="B1180" s="5" t="s">
        <v>1993</v>
      </c>
      <c r="C1180" s="5" t="s">
        <v>1179</v>
      </c>
      <c r="D1180" s="5" t="s">
        <v>1171</v>
      </c>
      <c r="J1180" s="19" t="s">
        <v>2215</v>
      </c>
      <c r="O1180" s="12" t="s">
        <v>2489</v>
      </c>
      <c r="T1180" s="12" t="s">
        <v>1713</v>
      </c>
      <c r="U1180" s="5" t="s">
        <v>1713</v>
      </c>
    </row>
    <row r="1181" spans="1:21" x14ac:dyDescent="0.2">
      <c r="A1181" s="3" t="s">
        <v>2930</v>
      </c>
      <c r="B1181" s="5" t="s">
        <v>1965</v>
      </c>
      <c r="C1181" s="5" t="s">
        <v>1170</v>
      </c>
      <c r="J1181" s="19" t="s">
        <v>2187</v>
      </c>
      <c r="O1181" s="12" t="s">
        <v>1804</v>
      </c>
      <c r="T1181" s="12" t="s">
        <v>2351</v>
      </c>
      <c r="U1181" s="5" t="s">
        <v>2351</v>
      </c>
    </row>
    <row r="1182" spans="1:21" x14ac:dyDescent="0.2">
      <c r="A1182" s="3" t="s">
        <v>2923</v>
      </c>
      <c r="B1182" s="5" t="s">
        <v>1955</v>
      </c>
      <c r="C1182" s="5" t="s">
        <v>1179</v>
      </c>
      <c r="J1182" s="19" t="s">
        <v>2177</v>
      </c>
      <c r="O1182" s="12" t="s">
        <v>2481</v>
      </c>
      <c r="T1182" s="12" t="s">
        <v>1713</v>
      </c>
      <c r="U1182" s="5" t="s">
        <v>1713</v>
      </c>
    </row>
    <row r="1183" spans="1:21" x14ac:dyDescent="0.2">
      <c r="A1183" s="3" t="s">
        <v>2924</v>
      </c>
      <c r="B1183" s="5" t="s">
        <v>1956</v>
      </c>
      <c r="C1183" s="5" t="s">
        <v>1179</v>
      </c>
      <c r="J1183" s="19" t="s">
        <v>2178</v>
      </c>
      <c r="O1183" s="12" t="s">
        <v>1804</v>
      </c>
      <c r="T1183" s="12" t="s">
        <v>2344</v>
      </c>
      <c r="U1183" s="5" t="s">
        <v>2344</v>
      </c>
    </row>
    <row r="1184" spans="1:21" x14ac:dyDescent="0.2">
      <c r="A1184" s="3" t="s">
        <v>2925</v>
      </c>
      <c r="B1184" s="5" t="s">
        <v>1957</v>
      </c>
      <c r="C1184" s="5" t="s">
        <v>1179</v>
      </c>
      <c r="J1184" s="19" t="s">
        <v>2179</v>
      </c>
      <c r="O1184" s="14" t="s">
        <v>2417</v>
      </c>
      <c r="T1184" s="12" t="s">
        <v>2345</v>
      </c>
      <c r="U1184" s="5" t="s">
        <v>2345</v>
      </c>
    </row>
    <row r="1185" spans="1:21" x14ac:dyDescent="0.2">
      <c r="A1185" s="3" t="s">
        <v>2962</v>
      </c>
      <c r="B1185" s="5" t="s">
        <v>2002</v>
      </c>
      <c r="C1185" s="5" t="s">
        <v>1223</v>
      </c>
      <c r="D1185" s="5" t="s">
        <v>1170</v>
      </c>
      <c r="J1185" s="19" t="s">
        <v>2224</v>
      </c>
      <c r="O1185" s="12" t="s">
        <v>2484</v>
      </c>
      <c r="T1185" s="12" t="s">
        <v>1713</v>
      </c>
      <c r="U1185" s="5" t="s">
        <v>1713</v>
      </c>
    </row>
    <row r="1186" spans="1:21" x14ac:dyDescent="0.2">
      <c r="A1186" s="3" t="s">
        <v>2963</v>
      </c>
      <c r="B1186" s="5" t="s">
        <v>2003</v>
      </c>
      <c r="C1186" s="5" t="s">
        <v>1223</v>
      </c>
      <c r="D1186" s="5" t="s">
        <v>1170</v>
      </c>
      <c r="J1186" s="19" t="s">
        <v>2225</v>
      </c>
      <c r="O1186" s="12" t="s">
        <v>2490</v>
      </c>
      <c r="T1186" s="12" t="s">
        <v>2368</v>
      </c>
      <c r="U1186" s="5" t="s">
        <v>2368</v>
      </c>
    </row>
    <row r="1187" spans="1:21" x14ac:dyDescent="0.2">
      <c r="A1187" s="3" t="s">
        <v>2964</v>
      </c>
      <c r="B1187" s="5" t="s">
        <v>2004</v>
      </c>
      <c r="C1187" s="5" t="s">
        <v>1223</v>
      </c>
      <c r="D1187" s="5" t="s">
        <v>1170</v>
      </c>
      <c r="J1187" s="19" t="s">
        <v>2226</v>
      </c>
      <c r="O1187" s="14" t="s">
        <v>2417</v>
      </c>
      <c r="T1187" s="12" t="s">
        <v>2369</v>
      </c>
      <c r="U1187" s="5" t="s">
        <v>2369</v>
      </c>
    </row>
    <row r="1188" spans="1:21" x14ac:dyDescent="0.2">
      <c r="A1188" s="3" t="s">
        <v>2935</v>
      </c>
      <c r="B1188" s="5" t="s">
        <v>1970</v>
      </c>
      <c r="C1188" s="5" t="s">
        <v>1181</v>
      </c>
      <c r="D1188" s="5" t="s">
        <v>1179</v>
      </c>
      <c r="J1188" s="19" t="s">
        <v>2192</v>
      </c>
      <c r="O1188" s="14" t="s">
        <v>2417</v>
      </c>
      <c r="T1188" s="12" t="s">
        <v>1713</v>
      </c>
      <c r="U1188" s="5" t="s">
        <v>1713</v>
      </c>
    </row>
    <row r="1189" spans="1:21" x14ac:dyDescent="0.2">
      <c r="A1189" s="3" t="s">
        <v>2785</v>
      </c>
      <c r="B1189" s="23" t="s">
        <v>398</v>
      </c>
      <c r="C1189" s="5" t="s">
        <v>1181</v>
      </c>
      <c r="D1189" s="5" t="s">
        <v>1214</v>
      </c>
      <c r="F1189" s="4" t="s">
        <v>2786</v>
      </c>
      <c r="K1189" s="18"/>
      <c r="L1189" s="21" t="s">
        <v>2652</v>
      </c>
      <c r="P1189" s="18"/>
      <c r="U1189" s="5" t="s">
        <v>1713</v>
      </c>
    </row>
    <row r="1190" spans="1:21" x14ac:dyDescent="0.2">
      <c r="A1190" s="3" t="s">
        <v>2849</v>
      </c>
      <c r="B1190" s="5" t="s">
        <v>1875</v>
      </c>
      <c r="C1190" s="5" t="s">
        <v>1206</v>
      </c>
      <c r="J1190" s="19" t="s">
        <v>2097</v>
      </c>
      <c r="O1190" s="12" t="s">
        <v>2452</v>
      </c>
      <c r="T1190" s="12" t="s">
        <v>1713</v>
      </c>
      <c r="U1190" s="5" t="s">
        <v>1713</v>
      </c>
    </row>
    <row r="1191" spans="1:21" x14ac:dyDescent="0.2">
      <c r="A1191" s="3" t="s">
        <v>2850</v>
      </c>
      <c r="B1191" s="5" t="s">
        <v>1876</v>
      </c>
      <c r="C1191" s="5" t="s">
        <v>1206</v>
      </c>
      <c r="J1191" s="19" t="s">
        <v>2098</v>
      </c>
      <c r="O1191" s="12" t="s">
        <v>2460</v>
      </c>
      <c r="T1191" s="12" t="s">
        <v>2297</v>
      </c>
      <c r="U1191" s="5" t="s">
        <v>2297</v>
      </c>
    </row>
    <row r="1192" spans="1:21" x14ac:dyDescent="0.2">
      <c r="A1192" s="3" t="s">
        <v>2980</v>
      </c>
      <c r="B1192" s="5" t="s">
        <v>2021</v>
      </c>
      <c r="C1192" s="5" t="s">
        <v>1168</v>
      </c>
      <c r="J1192" s="19" t="s">
        <v>2243</v>
      </c>
      <c r="O1192" s="12" t="s">
        <v>2494</v>
      </c>
      <c r="T1192" s="12" t="s">
        <v>1713</v>
      </c>
      <c r="U1192" s="5" t="s">
        <v>1713</v>
      </c>
    </row>
    <row r="1193" spans="1:21" x14ac:dyDescent="0.2">
      <c r="A1193" s="3" t="s">
        <v>2981</v>
      </c>
      <c r="B1193" s="5" t="s">
        <v>2022</v>
      </c>
      <c r="C1193" s="5" t="s">
        <v>1168</v>
      </c>
      <c r="J1193" s="19" t="s">
        <v>2244</v>
      </c>
      <c r="O1193" s="12" t="s">
        <v>1804</v>
      </c>
      <c r="T1193" s="12" t="s">
        <v>2379</v>
      </c>
      <c r="U1193" s="5" t="s">
        <v>2379</v>
      </c>
    </row>
    <row r="1194" spans="1:21" x14ac:dyDescent="0.2">
      <c r="A1194" s="3" t="s">
        <v>2982</v>
      </c>
      <c r="B1194" s="5" t="s">
        <v>2023</v>
      </c>
      <c r="C1194" s="5" t="s">
        <v>1168</v>
      </c>
      <c r="D1194" s="5" t="s">
        <v>1201</v>
      </c>
      <c r="J1194" s="19" t="s">
        <v>2245</v>
      </c>
      <c r="O1194" s="12" t="s">
        <v>1804</v>
      </c>
      <c r="T1194" s="12" t="s">
        <v>2380</v>
      </c>
      <c r="U1194" s="5" t="s">
        <v>2380</v>
      </c>
    </row>
    <row r="1195" spans="1:21" x14ac:dyDescent="0.2">
      <c r="A1195" s="3" t="s">
        <v>2983</v>
      </c>
      <c r="B1195" s="5" t="s">
        <v>2025</v>
      </c>
      <c r="C1195" s="5" t="s">
        <v>1170</v>
      </c>
      <c r="J1195" s="19" t="s">
        <v>2247</v>
      </c>
      <c r="O1195" s="14" t="s">
        <v>2495</v>
      </c>
      <c r="T1195" s="12" t="s">
        <v>1713</v>
      </c>
      <c r="U1195" s="5" t="s">
        <v>1713</v>
      </c>
    </row>
    <row r="1196" spans="1:21" x14ac:dyDescent="0.2">
      <c r="A1196" s="3" t="s">
        <v>2984</v>
      </c>
      <c r="B1196" s="5" t="s">
        <v>2026</v>
      </c>
      <c r="C1196" s="5" t="s">
        <v>1170</v>
      </c>
      <c r="J1196" s="19" t="s">
        <v>2248</v>
      </c>
      <c r="O1196" s="12" t="s">
        <v>1804</v>
      </c>
      <c r="T1196" s="12" t="s">
        <v>2381</v>
      </c>
      <c r="U1196" s="5" t="s">
        <v>2381</v>
      </c>
    </row>
    <row r="1197" spans="1:21" x14ac:dyDescent="0.2">
      <c r="A1197" s="3" t="s">
        <v>2985</v>
      </c>
      <c r="B1197" s="5" t="s">
        <v>2027</v>
      </c>
      <c r="C1197" s="5" t="s">
        <v>1170</v>
      </c>
      <c r="D1197" s="5" t="s">
        <v>1206</v>
      </c>
      <c r="J1197" s="19" t="s">
        <v>2249</v>
      </c>
      <c r="O1197" s="12" t="s">
        <v>1804</v>
      </c>
      <c r="T1197" s="12" t="s">
        <v>2382</v>
      </c>
      <c r="U1197" s="5" t="s">
        <v>2382</v>
      </c>
    </row>
    <row r="1198" spans="1:21" x14ac:dyDescent="0.2">
      <c r="A1198" s="3" t="s">
        <v>2976</v>
      </c>
      <c r="B1198" s="5" t="s">
        <v>2017</v>
      </c>
      <c r="C1198" s="5" t="s">
        <v>1172</v>
      </c>
      <c r="J1198" s="19" t="s">
        <v>2239</v>
      </c>
      <c r="O1198" s="12" t="s">
        <v>2493</v>
      </c>
      <c r="T1198" s="12" t="s">
        <v>1713</v>
      </c>
      <c r="U1198" s="5" t="s">
        <v>1713</v>
      </c>
    </row>
    <row r="1199" spans="1:21" x14ac:dyDescent="0.2">
      <c r="A1199" s="3" t="s">
        <v>2977</v>
      </c>
      <c r="B1199" s="5" t="s">
        <v>2018</v>
      </c>
      <c r="C1199" s="5" t="s">
        <v>1172</v>
      </c>
      <c r="J1199" s="19" t="s">
        <v>2240</v>
      </c>
      <c r="O1199" s="12" t="s">
        <v>1804</v>
      </c>
      <c r="T1199" s="12" t="s">
        <v>2377</v>
      </c>
      <c r="U1199" s="5" t="s">
        <v>2377</v>
      </c>
    </row>
    <row r="1200" spans="1:21" x14ac:dyDescent="0.2">
      <c r="A1200" s="3" t="s">
        <v>2978</v>
      </c>
      <c r="B1200" s="5" t="s">
        <v>2019</v>
      </c>
      <c r="C1200" s="5" t="s">
        <v>1172</v>
      </c>
      <c r="D1200" s="5" t="s">
        <v>1270</v>
      </c>
      <c r="J1200" s="19" t="s">
        <v>2241</v>
      </c>
      <c r="O1200" s="12" t="s">
        <v>1804</v>
      </c>
      <c r="T1200" s="12" t="s">
        <v>2378</v>
      </c>
      <c r="U1200" s="5" t="s">
        <v>2378</v>
      </c>
    </row>
    <row r="1201" spans="1:21" x14ac:dyDescent="0.2">
      <c r="A1201" s="3" t="s">
        <v>2811</v>
      </c>
      <c r="B1201" s="5" t="s">
        <v>1826</v>
      </c>
      <c r="C1201" s="5" t="s">
        <v>1174</v>
      </c>
      <c r="J1201" s="19" t="s">
        <v>2048</v>
      </c>
      <c r="O1201" s="12" t="s">
        <v>2258</v>
      </c>
      <c r="T1201" s="12" t="s">
        <v>1713</v>
      </c>
      <c r="U1201" s="5" t="s">
        <v>1713</v>
      </c>
    </row>
    <row r="1202" spans="1:21" x14ac:dyDescent="0.2">
      <c r="A1202" s="3" t="s">
        <v>2851</v>
      </c>
      <c r="B1202" s="5" t="s">
        <v>1877</v>
      </c>
      <c r="C1202" s="5" t="s">
        <v>1206</v>
      </c>
      <c r="J1202" s="19" t="s">
        <v>2099</v>
      </c>
      <c r="O1202" s="14" t="s">
        <v>2417</v>
      </c>
      <c r="T1202" s="12" t="s">
        <v>2298</v>
      </c>
      <c r="U1202" s="5" t="s">
        <v>2298</v>
      </c>
    </row>
    <row r="1203" spans="1:21" x14ac:dyDescent="0.2">
      <c r="A1203" s="3" t="s">
        <v>2812</v>
      </c>
      <c r="B1203" s="5" t="s">
        <v>1827</v>
      </c>
      <c r="C1203" s="5" t="s">
        <v>1174</v>
      </c>
      <c r="D1203" s="5" t="s">
        <v>1181</v>
      </c>
      <c r="J1203" s="19" t="s">
        <v>2049</v>
      </c>
      <c r="O1203" s="12" t="s">
        <v>2417</v>
      </c>
      <c r="T1203" s="12" t="s">
        <v>2269</v>
      </c>
      <c r="U1203" s="5" t="s">
        <v>2269</v>
      </c>
    </row>
    <row r="1204" spans="1:21" x14ac:dyDescent="0.2">
      <c r="A1204" s="3" t="s">
        <v>2808</v>
      </c>
      <c r="B1204" s="5" t="s">
        <v>1823</v>
      </c>
      <c r="C1204" s="5" t="s">
        <v>1174</v>
      </c>
      <c r="D1204" s="5" t="s">
        <v>1171</v>
      </c>
      <c r="J1204" s="19" t="s">
        <v>2045</v>
      </c>
      <c r="O1204" s="12" t="s">
        <v>2415</v>
      </c>
      <c r="T1204" s="12" t="s">
        <v>1713</v>
      </c>
      <c r="U1204" s="5" t="s">
        <v>1713</v>
      </c>
    </row>
    <row r="1205" spans="1:21" x14ac:dyDescent="0.2">
      <c r="A1205" s="3" t="s">
        <v>2809</v>
      </c>
      <c r="B1205" s="5" t="s">
        <v>1824</v>
      </c>
      <c r="C1205" s="5" t="s">
        <v>1170</v>
      </c>
      <c r="D1205" s="5" t="s">
        <v>1171</v>
      </c>
      <c r="J1205" s="19" t="s">
        <v>2046</v>
      </c>
      <c r="O1205" s="12" t="s">
        <v>2416</v>
      </c>
      <c r="T1205" s="12" t="s">
        <v>2267</v>
      </c>
      <c r="U1205" s="5" t="s">
        <v>2267</v>
      </c>
    </row>
    <row r="1206" spans="1:21" x14ac:dyDescent="0.2">
      <c r="A1206" s="3" t="s">
        <v>2810</v>
      </c>
      <c r="B1206" s="5" t="s">
        <v>1825</v>
      </c>
      <c r="C1206" s="5" t="s">
        <v>1170</v>
      </c>
      <c r="D1206" s="5" t="s">
        <v>1171</v>
      </c>
      <c r="J1206" s="19" t="s">
        <v>2047</v>
      </c>
      <c r="O1206" s="12" t="s">
        <v>2417</v>
      </c>
      <c r="T1206" s="12" t="s">
        <v>2268</v>
      </c>
      <c r="U1206" s="5" t="s">
        <v>2268</v>
      </c>
    </row>
    <row r="1207" spans="1:21" x14ac:dyDescent="0.2">
      <c r="A1207" s="3" t="s">
        <v>2813</v>
      </c>
      <c r="B1207" s="5" t="s">
        <v>1828</v>
      </c>
      <c r="C1207" s="5" t="s">
        <v>1173</v>
      </c>
      <c r="J1207" s="19" t="s">
        <v>2050</v>
      </c>
      <c r="O1207" s="12" t="s">
        <v>2450</v>
      </c>
      <c r="T1207" s="12" t="s">
        <v>1713</v>
      </c>
      <c r="U1207" s="5" t="s">
        <v>1713</v>
      </c>
    </row>
    <row r="1208" spans="1:21" x14ac:dyDescent="0.2">
      <c r="A1208" s="3" t="s">
        <v>2814</v>
      </c>
      <c r="B1208" s="5" t="s">
        <v>1829</v>
      </c>
      <c r="C1208" s="5" t="s">
        <v>1173</v>
      </c>
      <c r="J1208" s="19" t="s">
        <v>2051</v>
      </c>
      <c r="O1208" s="12" t="s">
        <v>2451</v>
      </c>
      <c r="T1208" s="12" t="s">
        <v>2270</v>
      </c>
      <c r="U1208" s="5" t="s">
        <v>2270</v>
      </c>
    </row>
    <row r="1209" spans="1:21" x14ac:dyDescent="0.2">
      <c r="A1209" s="3" t="s">
        <v>2815</v>
      </c>
      <c r="B1209" s="5" t="s">
        <v>1830</v>
      </c>
      <c r="C1209" s="5" t="s">
        <v>1173</v>
      </c>
      <c r="D1209" s="5" t="s">
        <v>1171</v>
      </c>
      <c r="J1209" s="19" t="s">
        <v>2052</v>
      </c>
      <c r="O1209" s="12" t="s">
        <v>2417</v>
      </c>
      <c r="T1209" s="12" t="s">
        <v>2271</v>
      </c>
      <c r="U1209" s="5" t="s">
        <v>2271</v>
      </c>
    </row>
    <row r="1210" spans="1:21" x14ac:dyDescent="0.2">
      <c r="A1210" s="3" t="s">
        <v>2836</v>
      </c>
      <c r="B1210" s="5" t="s">
        <v>1858</v>
      </c>
      <c r="C1210" s="5" t="s">
        <v>1170</v>
      </c>
      <c r="D1210" s="5" t="s">
        <v>1174</v>
      </c>
      <c r="J1210" s="19" t="s">
        <v>2080</v>
      </c>
      <c r="O1210" s="14" t="s">
        <v>2429</v>
      </c>
      <c r="T1210" s="12" t="s">
        <v>2288</v>
      </c>
      <c r="U1210" s="5" t="s">
        <v>2288</v>
      </c>
    </row>
    <row r="1211" spans="1:21" x14ac:dyDescent="0.2">
      <c r="A1211" s="3" t="s">
        <v>2837</v>
      </c>
      <c r="B1211" s="5" t="s">
        <v>1859</v>
      </c>
      <c r="C1211" s="5" t="s">
        <v>1170</v>
      </c>
      <c r="D1211" s="5" t="s">
        <v>1174</v>
      </c>
      <c r="J1211" s="19" t="s">
        <v>2081</v>
      </c>
      <c r="O1211" s="14" t="s">
        <v>2430</v>
      </c>
      <c r="T1211" s="12" t="s">
        <v>1713</v>
      </c>
      <c r="U1211" s="5" t="s">
        <v>1713</v>
      </c>
    </row>
    <row r="1212" spans="1:21" x14ac:dyDescent="0.2">
      <c r="A1212" s="3" t="s">
        <v>2829</v>
      </c>
      <c r="B1212" s="5" t="s">
        <v>1851</v>
      </c>
      <c r="C1212" s="5" t="s">
        <v>1189</v>
      </c>
      <c r="J1212" s="19" t="s">
        <v>2073</v>
      </c>
      <c r="O1212" s="14" t="s">
        <v>2427</v>
      </c>
      <c r="T1212" s="12" t="s">
        <v>1713</v>
      </c>
      <c r="U1212" s="5" t="s">
        <v>1713</v>
      </c>
    </row>
    <row r="1213" spans="1:21" x14ac:dyDescent="0.2">
      <c r="A1213" s="3" t="s">
        <v>2907</v>
      </c>
      <c r="B1213" s="5" t="s">
        <v>1938</v>
      </c>
      <c r="C1213" s="5" t="s">
        <v>1201</v>
      </c>
      <c r="J1213" s="19" t="s">
        <v>2160</v>
      </c>
      <c r="O1213" s="12" t="s">
        <v>2477</v>
      </c>
      <c r="T1213" s="12" t="s">
        <v>1713</v>
      </c>
      <c r="U1213" s="5" t="s">
        <v>1713</v>
      </c>
    </row>
    <row r="1214" spans="1:21" x14ac:dyDescent="0.2">
      <c r="A1214" s="3" t="s">
        <v>2830</v>
      </c>
      <c r="B1214" s="5" t="s">
        <v>1852</v>
      </c>
      <c r="C1214" s="5" t="s">
        <v>1189</v>
      </c>
      <c r="J1214" s="19" t="s">
        <v>2074</v>
      </c>
      <c r="O1214" s="12" t="s">
        <v>2455</v>
      </c>
      <c r="T1214" s="12" t="s">
        <v>2284</v>
      </c>
      <c r="U1214" s="5" t="s">
        <v>2284</v>
      </c>
    </row>
    <row r="1215" spans="1:21" x14ac:dyDescent="0.2">
      <c r="A1215" s="3" t="s">
        <v>2831</v>
      </c>
      <c r="B1215" s="5" t="s">
        <v>1853</v>
      </c>
      <c r="C1215" s="5" t="s">
        <v>1189</v>
      </c>
      <c r="J1215" s="19" t="s">
        <v>2075</v>
      </c>
      <c r="O1215" s="14" t="s">
        <v>2417</v>
      </c>
      <c r="T1215" s="12" t="s">
        <v>2285</v>
      </c>
      <c r="U1215" s="5" t="s">
        <v>2285</v>
      </c>
    </row>
    <row r="1216" spans="1:21" x14ac:dyDescent="0.2">
      <c r="A1216" s="3" t="s">
        <v>2832</v>
      </c>
      <c r="B1216" s="5" t="s">
        <v>1854</v>
      </c>
      <c r="C1216" s="5" t="s">
        <v>1168</v>
      </c>
      <c r="J1216" s="19" t="s">
        <v>2076</v>
      </c>
      <c r="O1216" s="12" t="s">
        <v>2456</v>
      </c>
      <c r="T1216" s="12" t="s">
        <v>1713</v>
      </c>
      <c r="U1216" s="5" t="s">
        <v>1713</v>
      </c>
    </row>
    <row r="1217" spans="1:21" x14ac:dyDescent="0.2">
      <c r="A1217" s="3" t="s">
        <v>2833</v>
      </c>
      <c r="B1217" s="5" t="s">
        <v>1855</v>
      </c>
      <c r="C1217" s="5" t="s">
        <v>1168</v>
      </c>
      <c r="J1217" s="19" t="s">
        <v>2077</v>
      </c>
      <c r="O1217" s="14" t="s">
        <v>2417</v>
      </c>
      <c r="T1217" s="12" t="s">
        <v>2286</v>
      </c>
      <c r="U1217" s="5" t="s">
        <v>2286</v>
      </c>
    </row>
    <row r="1218" spans="1:21" x14ac:dyDescent="0.2">
      <c r="A1218" s="3" t="s">
        <v>2838</v>
      </c>
      <c r="B1218" s="5" t="s">
        <v>1860</v>
      </c>
      <c r="C1218" s="5" t="s">
        <v>1201</v>
      </c>
      <c r="J1218" s="19" t="s">
        <v>2082</v>
      </c>
      <c r="O1218" s="14" t="s">
        <v>2429</v>
      </c>
      <c r="T1218" s="12" t="s">
        <v>1713</v>
      </c>
      <c r="U1218" s="5" t="s">
        <v>1713</v>
      </c>
    </row>
    <row r="1219" spans="1:21" x14ac:dyDescent="0.2">
      <c r="A1219" s="3" t="s">
        <v>2839</v>
      </c>
      <c r="B1219" s="5" t="s">
        <v>1861</v>
      </c>
      <c r="C1219" s="5" t="s">
        <v>1201</v>
      </c>
      <c r="D1219" s="5" t="s">
        <v>1270</v>
      </c>
      <c r="J1219" s="19" t="s">
        <v>2083</v>
      </c>
      <c r="O1219" s="14" t="s">
        <v>2417</v>
      </c>
      <c r="T1219" s="12" t="s">
        <v>2289</v>
      </c>
      <c r="U1219" s="5" t="s">
        <v>2289</v>
      </c>
    </row>
    <row r="1220" spans="1:21" x14ac:dyDescent="0.2">
      <c r="A1220" s="3" t="s">
        <v>2936</v>
      </c>
      <c r="B1220" s="5" t="s">
        <v>1971</v>
      </c>
      <c r="C1220" s="5" t="s">
        <v>1174</v>
      </c>
      <c r="J1220" s="19" t="s">
        <v>2193</v>
      </c>
      <c r="O1220" s="14" t="s">
        <v>2445</v>
      </c>
      <c r="T1220" s="12" t="s">
        <v>1713</v>
      </c>
      <c r="U1220" s="5" t="s">
        <v>1713</v>
      </c>
    </row>
    <row r="1221" spans="1:21" x14ac:dyDescent="0.2">
      <c r="A1221" s="3" t="s">
        <v>2834</v>
      </c>
      <c r="B1221" s="5" t="s">
        <v>1856</v>
      </c>
      <c r="C1221" s="5" t="s">
        <v>1206</v>
      </c>
      <c r="J1221" s="19" t="s">
        <v>2078</v>
      </c>
      <c r="O1221" s="12" t="s">
        <v>2457</v>
      </c>
      <c r="T1221" s="12" t="s">
        <v>1713</v>
      </c>
      <c r="U1221" s="5" t="s">
        <v>1713</v>
      </c>
    </row>
    <row r="1222" spans="1:21" x14ac:dyDescent="0.2">
      <c r="A1222" s="3" t="s">
        <v>2835</v>
      </c>
      <c r="B1222" s="5" t="s">
        <v>1857</v>
      </c>
      <c r="C1222" s="5" t="s">
        <v>1206</v>
      </c>
      <c r="J1222" s="19" t="s">
        <v>2079</v>
      </c>
      <c r="O1222" s="14" t="s">
        <v>2428</v>
      </c>
      <c r="T1222" s="12" t="s">
        <v>2287</v>
      </c>
      <c r="U1222" s="5" t="s">
        <v>2287</v>
      </c>
    </row>
    <row r="1223" spans="1:21" x14ac:dyDescent="0.2">
      <c r="A1223" s="3" t="s">
        <v>2858</v>
      </c>
      <c r="B1223" s="5" t="s">
        <v>1884</v>
      </c>
      <c r="C1223" s="5" t="s">
        <v>1214</v>
      </c>
      <c r="D1223" s="5" t="s">
        <v>1223</v>
      </c>
      <c r="J1223" s="19" t="s">
        <v>2106</v>
      </c>
      <c r="O1223" s="14" t="s">
        <v>2463</v>
      </c>
      <c r="T1223" s="12" t="s">
        <v>1713</v>
      </c>
      <c r="U1223" s="5" t="s">
        <v>1713</v>
      </c>
    </row>
    <row r="1224" spans="1:21" x14ac:dyDescent="0.2">
      <c r="A1224" s="3" t="s">
        <v>2908</v>
      </c>
      <c r="B1224" s="5" t="s">
        <v>1939</v>
      </c>
      <c r="C1224" s="5" t="s">
        <v>1201</v>
      </c>
      <c r="J1224" s="19" t="s">
        <v>2161</v>
      </c>
      <c r="O1224" s="14" t="s">
        <v>2478</v>
      </c>
      <c r="T1224" s="12" t="s">
        <v>2336</v>
      </c>
      <c r="U1224" s="5" t="s">
        <v>2336</v>
      </c>
    </row>
    <row r="1225" spans="1:21" x14ac:dyDescent="0.2">
      <c r="A1225" s="3" t="s">
        <v>2859</v>
      </c>
      <c r="B1225" s="5" t="s">
        <v>1885</v>
      </c>
      <c r="C1225" s="5" t="s">
        <v>1214</v>
      </c>
      <c r="D1225" s="5" t="s">
        <v>1223</v>
      </c>
      <c r="J1225" s="19" t="s">
        <v>2107</v>
      </c>
      <c r="O1225" s="14" t="s">
        <v>2459</v>
      </c>
      <c r="T1225" s="12" t="s">
        <v>2303</v>
      </c>
      <c r="U1225" s="5" t="s">
        <v>2303</v>
      </c>
    </row>
    <row r="1226" spans="1:21" x14ac:dyDescent="0.2">
      <c r="A1226" s="3" t="s">
        <v>2860</v>
      </c>
      <c r="B1226" s="5" t="s">
        <v>1886</v>
      </c>
      <c r="C1226" s="5" t="s">
        <v>1214</v>
      </c>
      <c r="D1226" s="5" t="s">
        <v>1223</v>
      </c>
      <c r="J1226" s="19" t="s">
        <v>2108</v>
      </c>
      <c r="O1226" s="14" t="s">
        <v>2417</v>
      </c>
      <c r="T1226" s="12" t="s">
        <v>2304</v>
      </c>
      <c r="U1226" s="5" t="s">
        <v>2304</v>
      </c>
    </row>
    <row r="1227" spans="1:21" x14ac:dyDescent="0.2">
      <c r="A1227" s="3" t="s">
        <v>2883</v>
      </c>
      <c r="B1227" s="5" t="s">
        <v>1909</v>
      </c>
      <c r="C1227" s="5" t="s">
        <v>1189</v>
      </c>
      <c r="J1227" s="19" t="s">
        <v>2131</v>
      </c>
      <c r="O1227" s="12" t="s">
        <v>2468</v>
      </c>
      <c r="T1227" s="12" t="s">
        <v>1713</v>
      </c>
      <c r="U1227" s="5" t="s">
        <v>1713</v>
      </c>
    </row>
    <row r="1228" spans="1:21" x14ac:dyDescent="0.2">
      <c r="A1228" s="3" t="s">
        <v>2884</v>
      </c>
      <c r="B1228" s="5" t="s">
        <v>1910</v>
      </c>
      <c r="C1228" s="5" t="s">
        <v>1189</v>
      </c>
      <c r="J1228" s="19" t="s">
        <v>2132</v>
      </c>
      <c r="O1228" s="12" t="s">
        <v>1804</v>
      </c>
      <c r="T1228" s="12" t="s">
        <v>2317</v>
      </c>
      <c r="U1228" s="5" t="s">
        <v>2317</v>
      </c>
    </row>
    <row r="1229" spans="1:21" x14ac:dyDescent="0.2">
      <c r="A1229" s="3" t="s">
        <v>2885</v>
      </c>
      <c r="B1229" s="5" t="s">
        <v>1911</v>
      </c>
      <c r="C1229" s="5" t="s">
        <v>1189</v>
      </c>
      <c r="J1229" s="19" t="s">
        <v>2133</v>
      </c>
      <c r="O1229" s="12" t="s">
        <v>2469</v>
      </c>
      <c r="T1229" s="12" t="s">
        <v>1713</v>
      </c>
      <c r="U1229" s="5" t="s">
        <v>1713</v>
      </c>
    </row>
    <row r="1230" spans="1:21" x14ac:dyDescent="0.2">
      <c r="A1230" s="3" t="s">
        <v>2886</v>
      </c>
      <c r="B1230" s="5" t="s">
        <v>1912</v>
      </c>
      <c r="C1230" s="5" t="s">
        <v>1189</v>
      </c>
      <c r="J1230" s="19" t="s">
        <v>2134</v>
      </c>
      <c r="O1230" s="12" t="s">
        <v>1804</v>
      </c>
      <c r="T1230" s="12" t="s">
        <v>2318</v>
      </c>
      <c r="U1230" s="5" t="s">
        <v>2318</v>
      </c>
    </row>
    <row r="1231" spans="1:21" x14ac:dyDescent="0.2">
      <c r="A1231" s="3" t="s">
        <v>2937</v>
      </c>
      <c r="B1231" s="5" t="s">
        <v>1972</v>
      </c>
      <c r="C1231" s="5" t="s">
        <v>1270</v>
      </c>
      <c r="D1231" s="5" t="s">
        <v>1206</v>
      </c>
      <c r="J1231" s="19" t="s">
        <v>2194</v>
      </c>
      <c r="O1231" s="12" t="s">
        <v>2484</v>
      </c>
      <c r="T1231" s="12" t="s">
        <v>1713</v>
      </c>
      <c r="U1231" s="5" t="s">
        <v>1713</v>
      </c>
    </row>
    <row r="1232" spans="1:21" x14ac:dyDescent="0.2">
      <c r="A1232" s="3" t="s">
        <v>2938</v>
      </c>
      <c r="B1232" s="5" t="s">
        <v>1973</v>
      </c>
      <c r="C1232" s="5" t="s">
        <v>1270</v>
      </c>
      <c r="D1232" s="5" t="s">
        <v>1206</v>
      </c>
      <c r="J1232" s="19" t="s">
        <v>2195</v>
      </c>
      <c r="O1232" s="12" t="s">
        <v>2449</v>
      </c>
      <c r="T1232" s="12" t="s">
        <v>2355</v>
      </c>
      <c r="U1232" s="5" t="s">
        <v>2355</v>
      </c>
    </row>
    <row r="1233" spans="1:21" x14ac:dyDescent="0.2">
      <c r="A1233" s="3" t="s">
        <v>2827</v>
      </c>
      <c r="B1233" s="5" t="s">
        <v>1847</v>
      </c>
      <c r="C1233" s="5" t="s">
        <v>1210</v>
      </c>
      <c r="D1233" s="5" t="s">
        <v>1172</v>
      </c>
      <c r="J1233" s="19" t="s">
        <v>2069</v>
      </c>
      <c r="O1233" s="14" t="s">
        <v>2425</v>
      </c>
      <c r="T1233" s="12" t="s">
        <v>1713</v>
      </c>
      <c r="U1233" s="5" t="s">
        <v>1713</v>
      </c>
    </row>
    <row r="1234" spans="1:21" x14ac:dyDescent="0.2">
      <c r="A1234" s="3" t="s">
        <v>2828</v>
      </c>
      <c r="B1234" s="5" t="s">
        <v>1848</v>
      </c>
      <c r="C1234" s="5" t="s">
        <v>1210</v>
      </c>
      <c r="D1234" s="5" t="s">
        <v>1172</v>
      </c>
      <c r="J1234" s="19" t="s">
        <v>2070</v>
      </c>
      <c r="O1234" s="14" t="s">
        <v>2417</v>
      </c>
      <c r="T1234" s="12" t="s">
        <v>2282</v>
      </c>
      <c r="U1234" s="5" t="s">
        <v>2282</v>
      </c>
    </row>
    <row r="1235" spans="1:21" x14ac:dyDescent="0.2">
      <c r="A1235" s="3" t="s">
        <v>2909</v>
      </c>
      <c r="B1235" s="5" t="s">
        <v>1940</v>
      </c>
      <c r="C1235" s="5" t="s">
        <v>1201</v>
      </c>
      <c r="J1235" s="19" t="s">
        <v>2162</v>
      </c>
      <c r="O1235" s="14" t="s">
        <v>2417</v>
      </c>
      <c r="T1235" s="12" t="s">
        <v>2337</v>
      </c>
      <c r="U1235" s="5" t="s">
        <v>2337</v>
      </c>
    </row>
    <row r="1236" spans="1:21" x14ac:dyDescent="0.2">
      <c r="A1236" s="3" t="s">
        <v>2939</v>
      </c>
      <c r="B1236" s="5" t="s">
        <v>1974</v>
      </c>
      <c r="C1236" s="5" t="s">
        <v>1169</v>
      </c>
      <c r="D1236" s="5" t="s">
        <v>1172</v>
      </c>
      <c r="J1236" s="19" t="s">
        <v>2196</v>
      </c>
      <c r="O1236" s="12" t="s">
        <v>2484</v>
      </c>
      <c r="T1236" s="12" t="s">
        <v>1713</v>
      </c>
      <c r="U1236" s="5" t="s">
        <v>1713</v>
      </c>
    </row>
    <row r="1237" spans="1:21" x14ac:dyDescent="0.2">
      <c r="A1237" s="3" t="s">
        <v>2940</v>
      </c>
      <c r="B1237" s="5" t="s">
        <v>1975</v>
      </c>
      <c r="C1237" s="5" t="s">
        <v>1169</v>
      </c>
      <c r="D1237" s="5" t="s">
        <v>1249</v>
      </c>
      <c r="J1237" s="19" t="s">
        <v>2197</v>
      </c>
      <c r="O1237" s="14" t="s">
        <v>2417</v>
      </c>
      <c r="T1237" s="12" t="s">
        <v>2356</v>
      </c>
      <c r="U1237" s="5" t="s">
        <v>2356</v>
      </c>
    </row>
    <row r="1238" spans="1:21" x14ac:dyDescent="0.2">
      <c r="A1238" s="3" t="s">
        <v>2941</v>
      </c>
      <c r="B1238" s="5" t="s">
        <v>1976</v>
      </c>
      <c r="C1238" s="5" t="s">
        <v>1172</v>
      </c>
      <c r="J1238" s="19" t="s">
        <v>2198</v>
      </c>
      <c r="O1238" s="12" t="s">
        <v>2485</v>
      </c>
      <c r="T1238" s="12" t="s">
        <v>1713</v>
      </c>
      <c r="U1238" s="5" t="s">
        <v>1713</v>
      </c>
    </row>
    <row r="1239" spans="1:21" x14ac:dyDescent="0.2">
      <c r="A1239" s="3" t="s">
        <v>2942</v>
      </c>
      <c r="B1239" s="5" t="s">
        <v>1977</v>
      </c>
      <c r="C1239" s="5" t="s">
        <v>1172</v>
      </c>
      <c r="J1239" s="19" t="s">
        <v>2199</v>
      </c>
      <c r="O1239" s="14" t="s">
        <v>2444</v>
      </c>
      <c r="T1239" s="12" t="s">
        <v>2357</v>
      </c>
      <c r="U1239" s="5" t="s">
        <v>2357</v>
      </c>
    </row>
    <row r="1240" spans="1:21" x14ac:dyDescent="0.2">
      <c r="A1240" s="3" t="s">
        <v>2969</v>
      </c>
      <c r="B1240" s="5" t="s">
        <v>2010</v>
      </c>
      <c r="C1240" s="5" t="s">
        <v>1179</v>
      </c>
      <c r="D1240" s="5" t="s">
        <v>1174</v>
      </c>
      <c r="J1240" s="19" t="s">
        <v>2232</v>
      </c>
      <c r="O1240" s="12" t="s">
        <v>2491</v>
      </c>
      <c r="T1240" s="12" t="s">
        <v>1713</v>
      </c>
      <c r="U1240" s="5" t="s">
        <v>1713</v>
      </c>
    </row>
    <row r="1241" spans="1:21" x14ac:dyDescent="0.2">
      <c r="A1241" s="3" t="s">
        <v>2970</v>
      </c>
      <c r="B1241" s="5" t="s">
        <v>2011</v>
      </c>
      <c r="C1241" s="5" t="s">
        <v>1179</v>
      </c>
      <c r="D1241" s="5" t="s">
        <v>1174</v>
      </c>
      <c r="J1241" s="19" t="s">
        <v>2233</v>
      </c>
      <c r="O1241" s="14" t="s">
        <v>2417</v>
      </c>
      <c r="T1241" s="12" t="s">
        <v>2373</v>
      </c>
      <c r="U1241" s="5" t="s">
        <v>2373</v>
      </c>
    </row>
    <row r="1242" spans="1:21" x14ac:dyDescent="0.2">
      <c r="A1242" s="3" t="s">
        <v>2861</v>
      </c>
      <c r="B1242" s="5" t="s">
        <v>1887</v>
      </c>
      <c r="C1242" s="5" t="s">
        <v>1168</v>
      </c>
      <c r="D1242" s="5" t="s">
        <v>1169</v>
      </c>
      <c r="J1242" s="19" t="s">
        <v>2109</v>
      </c>
      <c r="O1242" s="14" t="s">
        <v>2436</v>
      </c>
      <c r="T1242" s="12" t="s">
        <v>1713</v>
      </c>
      <c r="U1242" s="5" t="s">
        <v>1713</v>
      </c>
    </row>
    <row r="1243" spans="1:21" x14ac:dyDescent="0.2">
      <c r="A1243" s="3" t="s">
        <v>2931</v>
      </c>
      <c r="B1243" s="5" t="s">
        <v>1966</v>
      </c>
      <c r="C1243" s="5" t="s">
        <v>1170</v>
      </c>
      <c r="D1243" s="5" t="s">
        <v>1171</v>
      </c>
      <c r="J1243" s="19" t="s">
        <v>2188</v>
      </c>
      <c r="O1243" s="12" t="s">
        <v>1804</v>
      </c>
      <c r="T1243" s="12" t="s">
        <v>2352</v>
      </c>
      <c r="U1243" s="5" t="s">
        <v>2352</v>
      </c>
    </row>
    <row r="1244" spans="1:21" x14ac:dyDescent="0.2">
      <c r="A1244" s="3" t="s">
        <v>2890</v>
      </c>
      <c r="B1244" s="5" t="s">
        <v>1921</v>
      </c>
      <c r="C1244" s="5" t="s">
        <v>1189</v>
      </c>
      <c r="J1244" s="19" t="s">
        <v>2143</v>
      </c>
      <c r="O1244" s="14" t="s">
        <v>2417</v>
      </c>
      <c r="T1244" s="12" t="s">
        <v>2326</v>
      </c>
      <c r="U1244" s="5" t="s">
        <v>2326</v>
      </c>
    </row>
    <row r="1245" spans="1:21" x14ac:dyDescent="0.2">
      <c r="A1245" s="3" t="s">
        <v>2954</v>
      </c>
      <c r="B1245" s="5" t="s">
        <v>1994</v>
      </c>
      <c r="C1245" s="5" t="s">
        <v>1201</v>
      </c>
      <c r="D1245" s="5" t="s">
        <v>1171</v>
      </c>
      <c r="J1245" s="19" t="s">
        <v>2216</v>
      </c>
      <c r="O1245" s="14" t="s">
        <v>2417</v>
      </c>
      <c r="T1245" s="12" t="s">
        <v>1713</v>
      </c>
      <c r="U1245" s="5" t="s">
        <v>1713</v>
      </c>
    </row>
    <row r="1246" spans="1:21" x14ac:dyDescent="0.2">
      <c r="A1246" s="3" t="s">
        <v>2842</v>
      </c>
      <c r="B1246" s="5" t="s">
        <v>1864</v>
      </c>
      <c r="C1246" s="5" t="s">
        <v>1179</v>
      </c>
      <c r="D1246" s="5" t="s">
        <v>1189</v>
      </c>
      <c r="J1246" s="19" t="s">
        <v>2086</v>
      </c>
      <c r="O1246" s="14" t="s">
        <v>2417</v>
      </c>
      <c r="T1246" s="12" t="s">
        <v>1713</v>
      </c>
      <c r="U1246" s="5" t="s">
        <v>1713</v>
      </c>
    </row>
    <row r="1247" spans="1:21" x14ac:dyDescent="0.2">
      <c r="A1247" s="3" t="s">
        <v>2913</v>
      </c>
      <c r="B1247" s="5" t="s">
        <v>1944</v>
      </c>
      <c r="C1247" s="5" t="s">
        <v>1210</v>
      </c>
      <c r="D1247" s="5" t="s">
        <v>1189</v>
      </c>
      <c r="J1247" s="19" t="s">
        <v>2166</v>
      </c>
      <c r="O1247" s="14" t="s">
        <v>2417</v>
      </c>
      <c r="T1247" s="12" t="s">
        <v>1713</v>
      </c>
      <c r="U1247" s="5" t="s">
        <v>1713</v>
      </c>
    </row>
    <row r="1248" spans="1:21" x14ac:dyDescent="0.2">
      <c r="A1248" s="3" t="s">
        <v>2943</v>
      </c>
      <c r="B1248" s="5" t="s">
        <v>1978</v>
      </c>
      <c r="C1248" s="5" t="s">
        <v>1249</v>
      </c>
      <c r="J1248" s="19" t="s">
        <v>2200</v>
      </c>
      <c r="O1248" s="12" t="s">
        <v>2486</v>
      </c>
      <c r="T1248" s="12" t="s">
        <v>1713</v>
      </c>
      <c r="U1248" s="5" t="s">
        <v>1713</v>
      </c>
    </row>
    <row r="1249" spans="1:21" x14ac:dyDescent="0.2">
      <c r="A1249" s="3" t="s">
        <v>2944</v>
      </c>
      <c r="B1249" s="5" t="s">
        <v>1979</v>
      </c>
      <c r="C1249" s="5" t="s">
        <v>1249</v>
      </c>
      <c r="J1249" s="19" t="s">
        <v>2201</v>
      </c>
      <c r="O1249" s="12" t="s">
        <v>2487</v>
      </c>
      <c r="T1249" s="12" t="s">
        <v>2358</v>
      </c>
      <c r="U1249" s="5" t="s">
        <v>2358</v>
      </c>
    </row>
    <row r="1250" spans="1:21" x14ac:dyDescent="0.2">
      <c r="A1250" s="3" t="s">
        <v>2945</v>
      </c>
      <c r="B1250" s="5" t="s">
        <v>1980</v>
      </c>
      <c r="C1250" s="5" t="s">
        <v>1249</v>
      </c>
      <c r="J1250" s="19" t="s">
        <v>2202</v>
      </c>
      <c r="O1250" s="14" t="s">
        <v>2417</v>
      </c>
      <c r="T1250" s="12" t="s">
        <v>2359</v>
      </c>
      <c r="U1250" s="5" t="s">
        <v>2359</v>
      </c>
    </row>
    <row r="1251" spans="1:21" x14ac:dyDescent="0.2">
      <c r="A1251" s="3" t="s">
        <v>2961</v>
      </c>
      <c r="B1251" s="5" t="s">
        <v>2001</v>
      </c>
      <c r="C1251" s="5" t="s">
        <v>1214</v>
      </c>
      <c r="D1251" s="5" t="s">
        <v>1189</v>
      </c>
      <c r="J1251" s="19" t="s">
        <v>2223</v>
      </c>
      <c r="O1251" s="14" t="s">
        <v>2417</v>
      </c>
      <c r="T1251" s="12" t="s">
        <v>1713</v>
      </c>
      <c r="U1251" s="5" t="s">
        <v>1713</v>
      </c>
    </row>
    <row r="1252" spans="1:21" x14ac:dyDescent="0.2">
      <c r="A1252" s="3" t="s">
        <v>2955</v>
      </c>
      <c r="B1252" s="5" t="s">
        <v>1995</v>
      </c>
      <c r="C1252" s="5" t="s">
        <v>1223</v>
      </c>
      <c r="D1252" s="5" t="s">
        <v>1168</v>
      </c>
      <c r="J1252" s="19" t="s">
        <v>2217</v>
      </c>
      <c r="O1252" s="12" t="s">
        <v>2488</v>
      </c>
      <c r="T1252" s="12" t="s">
        <v>1713</v>
      </c>
      <c r="U1252" s="5" t="s">
        <v>1713</v>
      </c>
    </row>
    <row r="1253" spans="1:21" x14ac:dyDescent="0.2">
      <c r="A1253" s="3" t="s">
        <v>2956</v>
      </c>
      <c r="B1253" s="5" t="s">
        <v>1996</v>
      </c>
      <c r="C1253" s="5" t="s">
        <v>1223</v>
      </c>
      <c r="D1253" s="5" t="s">
        <v>1168</v>
      </c>
      <c r="J1253" s="19" t="s">
        <v>2218</v>
      </c>
      <c r="O1253" s="14" t="s">
        <v>2447</v>
      </c>
      <c r="T1253" s="12" t="s">
        <v>2365</v>
      </c>
      <c r="U1253" s="5" t="s">
        <v>2365</v>
      </c>
    </row>
    <row r="1254" spans="1:21" x14ac:dyDescent="0.2">
      <c r="A1254" s="3" t="s">
        <v>2862</v>
      </c>
      <c r="B1254" s="5" t="s">
        <v>1888</v>
      </c>
      <c r="C1254" s="5" t="s">
        <v>1168</v>
      </c>
      <c r="D1254" s="5" t="s">
        <v>1169</v>
      </c>
      <c r="J1254" s="19" t="s">
        <v>2110</v>
      </c>
      <c r="O1254" s="14" t="s">
        <v>2437</v>
      </c>
      <c r="T1254" s="12" t="s">
        <v>2305</v>
      </c>
      <c r="U1254" s="5" t="s">
        <v>2305</v>
      </c>
    </row>
    <row r="1255" spans="1:21" x14ac:dyDescent="0.2">
      <c r="A1255" s="3" t="s">
        <v>2971</v>
      </c>
      <c r="B1255" s="5" t="s">
        <v>2012</v>
      </c>
      <c r="C1255" s="5" t="s">
        <v>1223</v>
      </c>
      <c r="D1255" s="5" t="s">
        <v>1168</v>
      </c>
      <c r="J1255" s="19" t="s">
        <v>2234</v>
      </c>
      <c r="O1255" s="12" t="s">
        <v>2492</v>
      </c>
      <c r="T1255" s="12" t="s">
        <v>1713</v>
      </c>
      <c r="U1255" s="5" t="s">
        <v>1713</v>
      </c>
    </row>
    <row r="1256" spans="1:21" x14ac:dyDescent="0.2">
      <c r="A1256" s="3" t="s">
        <v>2972</v>
      </c>
      <c r="B1256" s="5" t="s">
        <v>2013</v>
      </c>
      <c r="C1256" s="5" t="s">
        <v>1223</v>
      </c>
      <c r="D1256" s="5" t="s">
        <v>1168</v>
      </c>
      <c r="J1256" s="19" t="s">
        <v>2235</v>
      </c>
      <c r="O1256" s="14" t="s">
        <v>2448</v>
      </c>
      <c r="T1256" s="12" t="s">
        <v>2374</v>
      </c>
      <c r="U1256" s="5" t="s">
        <v>2374</v>
      </c>
    </row>
    <row r="1257" spans="1:21" x14ac:dyDescent="0.2">
      <c r="A1257" s="3" t="s">
        <v>2951</v>
      </c>
      <c r="B1257" s="5" t="s">
        <v>1987</v>
      </c>
      <c r="C1257" s="5" t="s">
        <v>1220</v>
      </c>
      <c r="J1257" s="19" t="s">
        <v>2209</v>
      </c>
      <c r="O1257" s="12" t="s">
        <v>2478</v>
      </c>
      <c r="T1257" s="12" t="s">
        <v>1713</v>
      </c>
      <c r="U1257" s="5" t="s">
        <v>1713</v>
      </c>
    </row>
    <row r="1258" spans="1:21" x14ac:dyDescent="0.2">
      <c r="A1258" s="3" t="s">
        <v>2952</v>
      </c>
      <c r="B1258" s="5" t="s">
        <v>1988</v>
      </c>
      <c r="C1258" s="5" t="s">
        <v>1220</v>
      </c>
      <c r="J1258" s="19" t="s">
        <v>2210</v>
      </c>
      <c r="O1258" s="14" t="s">
        <v>2446</v>
      </c>
      <c r="T1258" s="12" t="s">
        <v>2363</v>
      </c>
      <c r="U1258" s="5" t="s">
        <v>2363</v>
      </c>
    </row>
    <row r="1259" spans="1:21" x14ac:dyDescent="0.2">
      <c r="A1259" s="3" t="s">
        <v>2959</v>
      </c>
      <c r="B1259" s="5" t="s">
        <v>1999</v>
      </c>
      <c r="C1259" s="5" t="s">
        <v>1171</v>
      </c>
      <c r="D1259" s="5" t="s">
        <v>1249</v>
      </c>
      <c r="J1259" s="19" t="s">
        <v>2221</v>
      </c>
      <c r="O1259" s="12" t="s">
        <v>2484</v>
      </c>
      <c r="T1259" s="12" t="s">
        <v>1713</v>
      </c>
      <c r="U1259" s="5" t="s">
        <v>1713</v>
      </c>
    </row>
    <row r="1260" spans="1:21" x14ac:dyDescent="0.2">
      <c r="A1260" s="3" t="s">
        <v>2960</v>
      </c>
      <c r="B1260" s="5" t="s">
        <v>2000</v>
      </c>
      <c r="C1260" s="5" t="s">
        <v>1171</v>
      </c>
      <c r="D1260" s="5" t="s">
        <v>1249</v>
      </c>
      <c r="J1260" s="19" t="s">
        <v>2222</v>
      </c>
      <c r="O1260" s="14" t="s">
        <v>2417</v>
      </c>
      <c r="T1260" s="12" t="s">
        <v>2367</v>
      </c>
      <c r="U1260" s="5" t="s">
        <v>2367</v>
      </c>
    </row>
    <row r="1261" spans="1:21" x14ac:dyDescent="0.2">
      <c r="A1261" s="3" t="s">
        <v>2863</v>
      </c>
      <c r="B1261" s="5" t="s">
        <v>1889</v>
      </c>
      <c r="C1261" s="5" t="s">
        <v>1168</v>
      </c>
      <c r="D1261" s="5" t="s">
        <v>1169</v>
      </c>
      <c r="J1261" s="19" t="s">
        <v>2111</v>
      </c>
      <c r="O1261" s="14" t="s">
        <v>2417</v>
      </c>
      <c r="T1261" s="12" t="s">
        <v>2306</v>
      </c>
      <c r="U1261" s="5" t="s">
        <v>2306</v>
      </c>
    </row>
    <row r="1262" spans="1:21" x14ac:dyDescent="0.2">
      <c r="A1262" s="3" t="s">
        <v>3418</v>
      </c>
      <c r="B1262" s="5" t="s">
        <v>3420</v>
      </c>
      <c r="C1262" s="5" t="s">
        <v>1210</v>
      </c>
      <c r="D1262" s="5" t="s">
        <v>1179</v>
      </c>
      <c r="E1262" s="18" t="s">
        <v>2109</v>
      </c>
      <c r="K1262" s="20" t="s">
        <v>3454</v>
      </c>
      <c r="P1262" s="20" t="s">
        <v>1713</v>
      </c>
      <c r="U1262" s="5" t="s">
        <v>1713</v>
      </c>
    </row>
    <row r="1263" spans="1:21" x14ac:dyDescent="0.2">
      <c r="A1263" s="3" t="s">
        <v>3419</v>
      </c>
      <c r="B1263" s="5" t="s">
        <v>3421</v>
      </c>
      <c r="C1263" s="5" t="s">
        <v>1210</v>
      </c>
      <c r="D1263" s="5" t="s">
        <v>1179</v>
      </c>
      <c r="E1263" s="18" t="s">
        <v>2110</v>
      </c>
      <c r="K1263" s="20" t="s">
        <v>3550</v>
      </c>
      <c r="P1263" s="20" t="s">
        <v>3455</v>
      </c>
      <c r="U1263" s="5" t="s">
        <v>3455</v>
      </c>
    </row>
    <row r="1264" spans="1:21" x14ac:dyDescent="0.2">
      <c r="A1264" s="3" t="s">
        <v>3422</v>
      </c>
      <c r="B1264" s="5" t="s">
        <v>3423</v>
      </c>
      <c r="C1264" s="5" t="s">
        <v>1210</v>
      </c>
      <c r="D1264" s="5" t="s">
        <v>1179</v>
      </c>
      <c r="E1264" s="18" t="s">
        <v>2111</v>
      </c>
      <c r="K1264" s="20" t="s">
        <v>3550</v>
      </c>
      <c r="P1264" s="20" t="s">
        <v>3456</v>
      </c>
      <c r="U1264" s="5" t="s">
        <v>3456</v>
      </c>
    </row>
    <row r="1265" spans="1:21" x14ac:dyDescent="0.2">
      <c r="A1265" s="3" t="s">
        <v>2790</v>
      </c>
      <c r="B1265" s="23" t="s">
        <v>483</v>
      </c>
      <c r="C1265" s="5" t="s">
        <v>1206</v>
      </c>
      <c r="F1265" s="4" t="s">
        <v>2791</v>
      </c>
      <c r="K1265" s="18"/>
      <c r="L1265" s="21" t="s">
        <v>2748</v>
      </c>
      <c r="P1265" s="18"/>
      <c r="U1265" s="5" t="s">
        <v>1713</v>
      </c>
    </row>
    <row r="1266" spans="1:21" x14ac:dyDescent="0.2">
      <c r="A1266" s="3" t="s">
        <v>2989</v>
      </c>
      <c r="B1266" s="5" t="s">
        <v>2032</v>
      </c>
      <c r="C1266" s="5" t="s">
        <v>1174</v>
      </c>
      <c r="D1266" s="5" t="s">
        <v>1249</v>
      </c>
      <c r="J1266" s="19" t="s">
        <v>2254</v>
      </c>
      <c r="O1266" s="14" t="s">
        <v>2417</v>
      </c>
      <c r="T1266" s="12" t="s">
        <v>1713</v>
      </c>
      <c r="U1266" s="5" t="s">
        <v>1713</v>
      </c>
    </row>
    <row r="1267" spans="1:21" x14ac:dyDescent="0.2">
      <c r="A1267" s="3" t="s">
        <v>2792</v>
      </c>
      <c r="B1267" s="23" t="s">
        <v>484</v>
      </c>
      <c r="C1267" s="5" t="s">
        <v>1206</v>
      </c>
      <c r="F1267" s="4" t="s">
        <v>2793</v>
      </c>
      <c r="K1267" s="18"/>
      <c r="L1267" s="21" t="s">
        <v>3550</v>
      </c>
      <c r="P1267" s="18"/>
      <c r="Q1267" s="21" t="s">
        <v>1095</v>
      </c>
      <c r="U1267" s="5" t="s">
        <v>1095</v>
      </c>
    </row>
    <row r="1268" spans="1:21" x14ac:dyDescent="0.2">
      <c r="A1268" s="3" t="s">
        <v>2919</v>
      </c>
      <c r="B1268" s="5" t="s">
        <v>1950</v>
      </c>
      <c r="C1268" s="5" t="s">
        <v>1172</v>
      </c>
      <c r="D1268" s="5" t="s">
        <v>1206</v>
      </c>
      <c r="J1268" s="19" t="s">
        <v>2172</v>
      </c>
      <c r="O1268" s="12" t="s">
        <v>2480</v>
      </c>
      <c r="T1268" s="12" t="s">
        <v>1713</v>
      </c>
      <c r="U1268" s="5" t="s">
        <v>1713</v>
      </c>
    </row>
    <row r="1269" spans="1:21" x14ac:dyDescent="0.2">
      <c r="A1269" s="3" t="s">
        <v>2932</v>
      </c>
      <c r="B1269" s="5" t="s">
        <v>1967</v>
      </c>
      <c r="C1269" s="5" t="s">
        <v>1172</v>
      </c>
      <c r="J1269" s="19" t="s">
        <v>2189</v>
      </c>
      <c r="O1269" s="12" t="s">
        <v>2449</v>
      </c>
      <c r="T1269" s="12" t="s">
        <v>1713</v>
      </c>
      <c r="U1269" s="5" t="s">
        <v>1713</v>
      </c>
    </row>
    <row r="1270" spans="1:21" x14ac:dyDescent="0.2">
      <c r="A1270" s="3" t="s">
        <v>2920</v>
      </c>
      <c r="B1270" s="5" t="s">
        <v>1951</v>
      </c>
      <c r="C1270" s="5" t="s">
        <v>1172</v>
      </c>
      <c r="D1270" s="5" t="s">
        <v>1206</v>
      </c>
      <c r="J1270" s="19" t="s">
        <v>2173</v>
      </c>
      <c r="O1270" s="14" t="s">
        <v>2444</v>
      </c>
      <c r="T1270" s="12" t="s">
        <v>2341</v>
      </c>
      <c r="U1270" s="5" t="s">
        <v>2341</v>
      </c>
    </row>
    <row r="1271" spans="1:21" x14ac:dyDescent="0.2">
      <c r="A1271" s="3" t="s">
        <v>2782</v>
      </c>
      <c r="B1271" s="23" t="s">
        <v>2783</v>
      </c>
      <c r="C1271" s="5" t="s">
        <v>1201</v>
      </c>
      <c r="F1271" s="22" t="s">
        <v>2784</v>
      </c>
      <c r="K1271" s="18"/>
      <c r="L1271" s="21" t="s">
        <v>2727</v>
      </c>
      <c r="P1271" s="18"/>
      <c r="U1271" s="5" t="s">
        <v>1713</v>
      </c>
    </row>
    <row r="1272" spans="1:21" x14ac:dyDescent="0.2">
      <c r="A1272" s="3" t="s">
        <v>2979</v>
      </c>
      <c r="B1272" s="5" t="s">
        <v>2020</v>
      </c>
      <c r="C1272" s="5" t="s">
        <v>1201</v>
      </c>
      <c r="J1272" s="19" t="s">
        <v>2242</v>
      </c>
      <c r="O1272" s="14" t="s">
        <v>2417</v>
      </c>
      <c r="T1272" s="12" t="s">
        <v>1713</v>
      </c>
      <c r="U1272" s="5" t="s">
        <v>1713</v>
      </c>
    </row>
    <row r="1273" spans="1:21" x14ac:dyDescent="0.2">
      <c r="A1273" s="3" t="s">
        <v>3425</v>
      </c>
      <c r="B1273" s="5" t="s">
        <v>3426</v>
      </c>
      <c r="C1273" s="5" t="s">
        <v>1169</v>
      </c>
      <c r="D1273" s="5" t="s">
        <v>1270</v>
      </c>
      <c r="E1273" s="18" t="s">
        <v>2123</v>
      </c>
      <c r="K1273" s="20" t="s">
        <v>3460</v>
      </c>
      <c r="P1273" s="20" t="s">
        <v>1713</v>
      </c>
      <c r="U1273" s="5" t="s">
        <v>1713</v>
      </c>
    </row>
    <row r="1274" spans="1:21" x14ac:dyDescent="0.2">
      <c r="A1274" s="3" t="s">
        <v>3424</v>
      </c>
      <c r="B1274" s="5" t="s">
        <v>3427</v>
      </c>
      <c r="C1274" s="5" t="s">
        <v>1169</v>
      </c>
      <c r="D1274" s="5" t="s">
        <v>1270</v>
      </c>
      <c r="E1274" s="18" t="s">
        <v>2124</v>
      </c>
      <c r="K1274" s="20" t="s">
        <v>3550</v>
      </c>
      <c r="P1274" s="20" t="s">
        <v>3462</v>
      </c>
      <c r="U1274" s="5" t="s">
        <v>3462</v>
      </c>
    </row>
    <row r="1275" spans="1:21" x14ac:dyDescent="0.2">
      <c r="A1275" s="3" t="s">
        <v>2933</v>
      </c>
      <c r="B1275" s="5" t="s">
        <v>1968</v>
      </c>
      <c r="C1275" s="5" t="s">
        <v>1172</v>
      </c>
      <c r="J1275" s="19" t="s">
        <v>2190</v>
      </c>
      <c r="O1275" s="12" t="s">
        <v>1804</v>
      </c>
      <c r="T1275" s="12" t="s">
        <v>2353</v>
      </c>
      <c r="U1275" s="5" t="s">
        <v>2353</v>
      </c>
    </row>
    <row r="1276" spans="1:21" x14ac:dyDescent="0.2">
      <c r="A1276" s="3" t="s">
        <v>2852</v>
      </c>
      <c r="B1276" s="5" t="s">
        <v>1878</v>
      </c>
      <c r="C1276" s="5" t="s">
        <v>1223</v>
      </c>
      <c r="D1276" s="5" t="s">
        <v>1169</v>
      </c>
      <c r="J1276" s="19" t="s">
        <v>2100</v>
      </c>
      <c r="O1276" s="12" t="s">
        <v>2461</v>
      </c>
      <c r="T1276" s="12" t="s">
        <v>1713</v>
      </c>
      <c r="U1276" s="5" t="s">
        <v>1713</v>
      </c>
    </row>
    <row r="1277" spans="1:21" x14ac:dyDescent="0.2">
      <c r="A1277" s="3" t="s">
        <v>2853</v>
      </c>
      <c r="B1277" s="5" t="s">
        <v>1879</v>
      </c>
      <c r="C1277" s="5" t="s">
        <v>1223</v>
      </c>
      <c r="D1277" s="5" t="s">
        <v>1169</v>
      </c>
      <c r="J1277" s="19" t="s">
        <v>2101</v>
      </c>
      <c r="O1277" s="14" t="s">
        <v>2462</v>
      </c>
      <c r="T1277" s="12" t="s">
        <v>2299</v>
      </c>
      <c r="U1277" s="5" t="s">
        <v>2299</v>
      </c>
    </row>
    <row r="1278" spans="1:21" x14ac:dyDescent="0.2">
      <c r="A1278" s="3" t="s">
        <v>2854</v>
      </c>
      <c r="B1278" s="5" t="s">
        <v>1880</v>
      </c>
      <c r="C1278" s="5" t="s">
        <v>1223</v>
      </c>
      <c r="D1278" s="5" t="s">
        <v>1169</v>
      </c>
      <c r="J1278" s="19" t="s">
        <v>2102</v>
      </c>
      <c r="O1278" s="14" t="s">
        <v>2417</v>
      </c>
      <c r="T1278" s="12" t="s">
        <v>2300</v>
      </c>
      <c r="U1278" s="5" t="s">
        <v>2300</v>
      </c>
    </row>
    <row r="1279" spans="1:21" x14ac:dyDescent="0.2">
      <c r="A1279" s="3" t="s">
        <v>2965</v>
      </c>
      <c r="B1279" s="5" t="s">
        <v>2005</v>
      </c>
      <c r="C1279" s="5" t="s">
        <v>1210</v>
      </c>
      <c r="D1279" s="5" t="s">
        <v>1181</v>
      </c>
      <c r="J1279" s="19" t="s">
        <v>2227</v>
      </c>
      <c r="O1279" s="12" t="s">
        <v>2489</v>
      </c>
      <c r="T1279" s="12" t="s">
        <v>1713</v>
      </c>
      <c r="U1279" s="5" t="s">
        <v>1713</v>
      </c>
    </row>
    <row r="1280" spans="1:21" x14ac:dyDescent="0.2">
      <c r="A1280" s="3" t="s">
        <v>2934</v>
      </c>
      <c r="B1280" s="5" t="s">
        <v>1969</v>
      </c>
      <c r="C1280" s="5" t="s">
        <v>1172</v>
      </c>
      <c r="J1280" s="19" t="s">
        <v>2191</v>
      </c>
      <c r="O1280" s="12" t="s">
        <v>1804</v>
      </c>
      <c r="T1280" s="12" t="s">
        <v>2354</v>
      </c>
      <c r="U1280" s="5" t="s">
        <v>2354</v>
      </c>
    </row>
    <row r="1281" spans="11:16" x14ac:dyDescent="0.2">
      <c r="K1281" s="18"/>
      <c r="P1281" s="18"/>
    </row>
    <row r="1282" spans="11:16" x14ac:dyDescent="0.2">
      <c r="K1282" s="18"/>
      <c r="P1282" s="18"/>
    </row>
    <row r="1283" spans="11:16" x14ac:dyDescent="0.2">
      <c r="K1283" s="18"/>
      <c r="P1283" s="18"/>
    </row>
    <row r="1284" spans="11:16" x14ac:dyDescent="0.2">
      <c r="K1284" s="18"/>
      <c r="P1284" s="18"/>
    </row>
    <row r="1285" spans="11:16" x14ac:dyDescent="0.2">
      <c r="K1285" s="18"/>
      <c r="P1285" s="18"/>
    </row>
  </sheetData>
  <autoFilter ref="A1:U1280" xr:uid="{80AB9E37-A159-B740-9858-020CCDDAF72E}">
    <sortState xmlns:xlrd2="http://schemas.microsoft.com/office/spreadsheetml/2017/richdata2" ref="A2:U1280">
      <sortCondition ref="A1:A1280"/>
    </sortState>
  </autoFilter>
  <phoneticPr fontId="5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CC3F-A2C3-774C-B86F-0334CD28AE83}">
  <dimension ref="A1:I493"/>
  <sheetViews>
    <sheetView workbookViewId="0">
      <selection activeCell="I1" sqref="I1:I493"/>
    </sheetView>
  </sheetViews>
  <sheetFormatPr baseColWidth="10" defaultRowHeight="16" x14ac:dyDescent="0.2"/>
  <cols>
    <col min="3" max="3" width="26.6640625" bestFit="1" customWidth="1"/>
    <col min="4" max="4" width="24.83203125" bestFit="1" customWidth="1"/>
    <col min="5" max="6" width="15.5" bestFit="1" customWidth="1"/>
    <col min="7" max="7" width="106.5" customWidth="1"/>
    <col min="8" max="8" width="46.5" bestFit="1" customWidth="1"/>
    <col min="9" max="9" width="10.83203125" style="25"/>
  </cols>
  <sheetData>
    <row r="1" spans="1:9" x14ac:dyDescent="0.2">
      <c r="A1" t="str">
        <f>"{ id: """&amp;MASTER!H2&amp;""""</f>
        <v>{ id: "001"</v>
      </c>
      <c r="B1" t="str">
        <f>" id2: """&amp;MASTER!G2&amp;""""</f>
        <v xml:space="preserve"> id2: ""</v>
      </c>
      <c r="C1" t="str">
        <f>" name: """&amp;MASTER!B2&amp;""""</f>
        <v xml:space="preserve"> name: "Bulbasaur"</v>
      </c>
      <c r="D1" t="str">
        <f>" img: """&amp;LOWER(MID(C1,9,LEN(C1)-9))&amp;".gif"""</f>
        <v xml:space="preserve"> img: "bulbasaur.gif"</v>
      </c>
      <c r="E1" t="str">
        <f>" type1: """&amp;MASTER!C2&amp;""""</f>
        <v xml:space="preserve"> type1: "Grass"</v>
      </c>
      <c r="F1" t="str">
        <f>" type2: """&amp;MASTER!D2&amp;""""</f>
        <v xml:space="preserve"> type2: "Poison"</v>
      </c>
      <c r="G1" t="str">
        <f>" location: """&amp;_xlfn.TEXTJOIN(" ",1,TRIM(MASTER!M2))&amp;""""</f>
        <v xml:space="preserve"> location: "Grassland Cave 👣"</v>
      </c>
      <c r="H1" t="e">
        <f>" evolve: """&amp;MASTER!#REF!&amp;""" }"</f>
        <v>#REF!</v>
      </c>
      <c r="I1" s="25" t="e">
        <f>_xlfn.TEXTJOIN(",",1,A1:H1)&amp;","</f>
        <v>#REF!</v>
      </c>
    </row>
    <row r="2" spans="1:9" x14ac:dyDescent="0.2">
      <c r="A2" t="str">
        <f>"{ id: """&amp;MASTER!H3&amp;""""</f>
        <v>{ id: "002"</v>
      </c>
      <c r="B2" t="str">
        <f>" id2: """&amp;MASTER!G3&amp;""""</f>
        <v xml:space="preserve"> id2: ""</v>
      </c>
      <c r="C2" t="str">
        <f>" name: """&amp;MASTER!B3&amp;""""</f>
        <v xml:space="preserve"> name: "Ivysaur"</v>
      </c>
      <c r="D2" t="str">
        <f t="shared" ref="D2:D65" si="0">" img: """&amp;LOWER(MID(C2,9,LEN(C2)-9))&amp;".gif"""</f>
        <v xml:space="preserve"> img: "ivysaur.gif"</v>
      </c>
      <c r="E2" t="str">
        <f>" type1: """&amp;MASTER!C3&amp;""""</f>
        <v xml:space="preserve"> type1: "Grass"</v>
      </c>
      <c r="F2" t="str">
        <f>" type2: """&amp;MASTER!D3&amp;""""</f>
        <v xml:space="preserve"> type2: "Poison"</v>
      </c>
      <c r="G2" t="str">
        <f>" location: """&amp;_xlfn.TEXTJOIN(" ",1,TRIM(MASTER!M3))&amp;""""</f>
        <v xml:space="preserve"> location: "None"</v>
      </c>
      <c r="H2" t="e">
        <f>" evolve: """&amp;MASTER!#REF!&amp;""" }"</f>
        <v>#REF!</v>
      </c>
      <c r="I2" s="25" t="e">
        <f t="shared" ref="I2:I65" si="1">_xlfn.TEXTJOIN(",",1,A2:H2)&amp;","</f>
        <v>#REF!</v>
      </c>
    </row>
    <row r="3" spans="1:9" x14ac:dyDescent="0.2">
      <c r="A3" t="str">
        <f>"{ id: """&amp;MASTER!H4&amp;""""</f>
        <v>{ id: "003"</v>
      </c>
      <c r="B3" t="str">
        <f>" id2: """&amp;MASTER!G4&amp;""""</f>
        <v xml:space="preserve"> id2: ""</v>
      </c>
      <c r="C3" t="str">
        <f>" name: """&amp;MASTER!B4&amp;""""</f>
        <v xml:space="preserve"> name: "Venusaur"</v>
      </c>
      <c r="D3" t="str">
        <f t="shared" si="0"/>
        <v xml:space="preserve"> img: "venusaur.gif"</v>
      </c>
      <c r="E3" t="str">
        <f>" type1: """&amp;MASTER!C4&amp;""""</f>
        <v xml:space="preserve"> type1: "Grass"</v>
      </c>
      <c r="F3" t="str">
        <f>" type2: """&amp;MASTER!D4&amp;""""</f>
        <v xml:space="preserve"> type2: "Poison"</v>
      </c>
      <c r="G3" t="str">
        <f>" location: """&amp;_xlfn.TEXTJOIN(" ",1,TRIM(MASTER!M4))&amp;""""</f>
        <v xml:space="preserve"> location: "None"</v>
      </c>
      <c r="H3" t="e">
        <f>" evolve: """&amp;MASTER!#REF!&amp;""" }"</f>
        <v>#REF!</v>
      </c>
      <c r="I3" s="25" t="e">
        <f t="shared" si="1"/>
        <v>#REF!</v>
      </c>
    </row>
    <row r="4" spans="1:9" x14ac:dyDescent="0.2">
      <c r="A4" t="str">
        <f>"{ id: """&amp;MASTER!H5&amp;""""</f>
        <v>{ id: "004"</v>
      </c>
      <c r="B4" t="str">
        <f>" id2: """&amp;MASTER!G5&amp;""""</f>
        <v xml:space="preserve"> id2: ""</v>
      </c>
      <c r="C4" t="str">
        <f>" name: """&amp;MASTER!B5&amp;""""</f>
        <v xml:space="preserve"> name: "Charmander"</v>
      </c>
      <c r="D4" t="str">
        <f t="shared" si="0"/>
        <v xml:space="preserve"> img: "charmander.gif"</v>
      </c>
      <c r="E4" t="str">
        <f>" type1: """&amp;MASTER!C5&amp;""""</f>
        <v xml:space="preserve"> type1: "Fire"</v>
      </c>
      <c r="F4" t="str">
        <f>" type2: """&amp;MASTER!D5&amp;""""</f>
        <v xml:space="preserve"> type2: ""</v>
      </c>
      <c r="G4" t="str">
        <f>" location: """&amp;_xlfn.TEXTJOIN(" ",1,TRIM(MASTER!M5))&amp;""""</f>
        <v xml:space="preserve"> location: "Volcanic Cave 👣"</v>
      </c>
      <c r="H4" t="e">
        <f>" evolve: """&amp;MASTER!#REF!&amp;""" }"</f>
        <v>#REF!</v>
      </c>
      <c r="I4" s="25" t="e">
        <f t="shared" si="1"/>
        <v>#REF!</v>
      </c>
    </row>
    <row r="5" spans="1:9" x14ac:dyDescent="0.2">
      <c r="A5" t="str">
        <f>"{ id: """&amp;MASTER!H6&amp;""""</f>
        <v>{ id: "005"</v>
      </c>
      <c r="B5" t="str">
        <f>" id2: """&amp;MASTER!G6&amp;""""</f>
        <v xml:space="preserve"> id2: ""</v>
      </c>
      <c r="C5" t="str">
        <f>" name: """&amp;MASTER!B6&amp;""""</f>
        <v xml:space="preserve"> name: "Charmeleon"</v>
      </c>
      <c r="D5" t="str">
        <f t="shared" si="0"/>
        <v xml:space="preserve"> img: "charmeleon.gif"</v>
      </c>
      <c r="E5" t="str">
        <f>" type1: """&amp;MASTER!C6&amp;""""</f>
        <v xml:space="preserve"> type1: "Fire"</v>
      </c>
      <c r="F5" t="str">
        <f>" type2: """&amp;MASTER!D6&amp;""""</f>
        <v xml:space="preserve"> type2: ""</v>
      </c>
      <c r="G5" t="str">
        <f>" location: """&amp;_xlfn.TEXTJOIN(" ",1,TRIM(MASTER!M6))&amp;""""</f>
        <v xml:space="preserve"> location: "None"</v>
      </c>
      <c r="H5" t="e">
        <f>" evolve: """&amp;MASTER!#REF!&amp;""" }"</f>
        <v>#REF!</v>
      </c>
      <c r="I5" s="25" t="e">
        <f t="shared" si="1"/>
        <v>#REF!</v>
      </c>
    </row>
    <row r="6" spans="1:9" x14ac:dyDescent="0.2">
      <c r="A6" t="str">
        <f>"{ id: """&amp;MASTER!H7&amp;""""</f>
        <v>{ id: "006"</v>
      </c>
      <c r="B6" t="str">
        <f>" id2: """&amp;MASTER!G7&amp;""""</f>
        <v xml:space="preserve"> id2: ""</v>
      </c>
      <c r="C6" t="str">
        <f>" name: """&amp;MASTER!B7&amp;""""</f>
        <v xml:space="preserve"> name: "Charizard"</v>
      </c>
      <c r="D6" t="str">
        <f t="shared" si="0"/>
        <v xml:space="preserve"> img: "charizard.gif"</v>
      </c>
      <c r="E6" t="str">
        <f>" type1: """&amp;MASTER!C7&amp;""""</f>
        <v xml:space="preserve"> type1: "Fire"</v>
      </c>
      <c r="F6" t="str">
        <f>" type2: """&amp;MASTER!D7&amp;""""</f>
        <v xml:space="preserve"> type2: "Flying"</v>
      </c>
      <c r="G6" t="str">
        <f>" location: """&amp;_xlfn.TEXTJOIN(" ",1,TRIM(MASTER!M7))&amp;""""</f>
        <v xml:space="preserve"> location: "None"</v>
      </c>
      <c r="H6" t="e">
        <f>" evolve: """&amp;MASTER!#REF!&amp;""" }"</f>
        <v>#REF!</v>
      </c>
      <c r="I6" s="25" t="e">
        <f t="shared" si="1"/>
        <v>#REF!</v>
      </c>
    </row>
    <row r="7" spans="1:9" x14ac:dyDescent="0.2">
      <c r="A7" t="str">
        <f>"{ id: """&amp;MASTER!H8&amp;""""</f>
        <v>{ id: "007"</v>
      </c>
      <c r="B7" t="str">
        <f>" id2: """&amp;MASTER!G8&amp;""""</f>
        <v xml:space="preserve"> id2: ""</v>
      </c>
      <c r="C7" t="str">
        <f>" name: """&amp;MASTER!B8&amp;""""</f>
        <v xml:space="preserve"> name: "Squirtle"</v>
      </c>
      <c r="D7" t="str">
        <f t="shared" si="0"/>
        <v xml:space="preserve"> img: "squirtle.gif"</v>
      </c>
      <c r="E7" t="str">
        <f>" type1: """&amp;MASTER!C8&amp;""""</f>
        <v xml:space="preserve"> type1: "Water"</v>
      </c>
      <c r="F7" t="str">
        <f>" type2: """&amp;MASTER!D8&amp;""""</f>
        <v xml:space="preserve"> type2: ""</v>
      </c>
      <c r="G7" t="str">
        <f>" location: """&amp;_xlfn.TEXTJOIN(" ",1,TRIM(MASTER!M8))&amp;""""</f>
        <v xml:space="preserve"> location: "Fountainspring Cave 👣"</v>
      </c>
      <c r="H7" t="e">
        <f>" evolve: """&amp;MASTER!#REF!&amp;""" }"</f>
        <v>#REF!</v>
      </c>
      <c r="I7" s="25" t="e">
        <f t="shared" si="1"/>
        <v>#REF!</v>
      </c>
    </row>
    <row r="8" spans="1:9" x14ac:dyDescent="0.2">
      <c r="A8" t="str">
        <f>"{ id: """&amp;MASTER!H9&amp;""""</f>
        <v>{ id: "008"</v>
      </c>
      <c r="B8" t="str">
        <f>" id2: """&amp;MASTER!G9&amp;""""</f>
        <v xml:space="preserve"> id2: ""</v>
      </c>
      <c r="C8" t="str">
        <f>" name: """&amp;MASTER!B9&amp;""""</f>
        <v xml:space="preserve"> name: "Wartortle"</v>
      </c>
      <c r="D8" t="str">
        <f t="shared" si="0"/>
        <v xml:space="preserve"> img: "wartortle.gif"</v>
      </c>
      <c r="E8" t="str">
        <f>" type1: """&amp;MASTER!C9&amp;""""</f>
        <v xml:space="preserve"> type1: "Water"</v>
      </c>
      <c r="F8" t="str">
        <f>" type2: """&amp;MASTER!D9&amp;""""</f>
        <v xml:space="preserve"> type2: ""</v>
      </c>
      <c r="G8" t="str">
        <f>" location: """&amp;_xlfn.TEXTJOIN(" ",1,TRIM(MASTER!M9))&amp;""""</f>
        <v xml:space="preserve"> location: "None"</v>
      </c>
      <c r="H8" t="e">
        <f>" evolve: """&amp;MASTER!#REF!&amp;""" }"</f>
        <v>#REF!</v>
      </c>
      <c r="I8" s="25" t="e">
        <f t="shared" si="1"/>
        <v>#REF!</v>
      </c>
    </row>
    <row r="9" spans="1:9" x14ac:dyDescent="0.2">
      <c r="A9" t="str">
        <f>"{ id: """&amp;MASTER!H10&amp;""""</f>
        <v>{ id: "009"</v>
      </c>
      <c r="B9" t="str">
        <f>" id2: """&amp;MASTER!G10&amp;""""</f>
        <v xml:space="preserve"> id2: ""</v>
      </c>
      <c r="C9" t="str">
        <f>" name: """&amp;MASTER!B10&amp;""""</f>
        <v xml:space="preserve"> name: "Blastoise"</v>
      </c>
      <c r="D9" t="str">
        <f t="shared" si="0"/>
        <v xml:space="preserve"> img: "blastoise.gif"</v>
      </c>
      <c r="E9" t="str">
        <f>" type1: """&amp;MASTER!C10&amp;""""</f>
        <v xml:space="preserve"> type1: "Water"</v>
      </c>
      <c r="F9" t="str">
        <f>" type2: """&amp;MASTER!D10&amp;""""</f>
        <v xml:space="preserve"> type2: ""</v>
      </c>
      <c r="G9" t="str">
        <f>" location: """&amp;_xlfn.TEXTJOIN(" ",1,TRIM(MASTER!M10))&amp;""""</f>
        <v xml:space="preserve"> location: "None"</v>
      </c>
      <c r="H9" t="e">
        <f>" evolve: """&amp;MASTER!#REF!&amp;""" }"</f>
        <v>#REF!</v>
      </c>
      <c r="I9" s="25" t="e">
        <f t="shared" si="1"/>
        <v>#REF!</v>
      </c>
    </row>
    <row r="10" spans="1:9" x14ac:dyDescent="0.2">
      <c r="A10" t="str">
        <f>"{ id: """&amp;MASTER!H11&amp;""""</f>
        <v>{ id: "010"</v>
      </c>
      <c r="B10" t="str">
        <f>" id2: """&amp;MASTER!G11&amp;""""</f>
        <v xml:space="preserve"> id2: ""</v>
      </c>
      <c r="C10" t="str">
        <f>" name: """&amp;MASTER!B11&amp;""""</f>
        <v xml:space="preserve"> name: "Caterpie"</v>
      </c>
      <c r="D10" t="str">
        <f t="shared" si="0"/>
        <v xml:space="preserve"> img: "caterpie.gif"</v>
      </c>
      <c r="E10" t="str">
        <f>" type1: """&amp;MASTER!C11&amp;""""</f>
        <v xml:space="preserve"> type1: "Bug"</v>
      </c>
      <c r="F10" t="str">
        <f>" type2: """&amp;MASTER!D11&amp;""""</f>
        <v xml:space="preserve"> type2: ""</v>
      </c>
      <c r="G10" t="str">
        <f>" location: """&amp;_xlfn.TEXTJOIN(" ",1,TRIM(MASTER!M11))&amp;""""</f>
        <v xml:space="preserve"> location: "Spacious Cave 👣 💎only"</v>
      </c>
      <c r="H10" t="e">
        <f>" evolve: """&amp;MASTER!#REF!&amp;""" }"</f>
        <v>#REF!</v>
      </c>
      <c r="I10" s="25" t="e">
        <f t="shared" si="1"/>
        <v>#REF!</v>
      </c>
    </row>
    <row r="11" spans="1:9" x14ac:dyDescent="0.2">
      <c r="A11" t="str">
        <f>"{ id: """&amp;MASTER!H12&amp;""""</f>
        <v>{ id: "011"</v>
      </c>
      <c r="B11" t="str">
        <f>" id2: """&amp;MASTER!G12&amp;""""</f>
        <v xml:space="preserve"> id2: ""</v>
      </c>
      <c r="C11" t="str">
        <f>" name: """&amp;MASTER!B12&amp;""""</f>
        <v xml:space="preserve"> name: "Metapod"</v>
      </c>
      <c r="D11" t="str">
        <f t="shared" si="0"/>
        <v xml:space="preserve"> img: "metapod.gif"</v>
      </c>
      <c r="E11" t="str">
        <f>" type1: """&amp;MASTER!C12&amp;""""</f>
        <v xml:space="preserve"> type1: "Bug"</v>
      </c>
      <c r="F11" t="str">
        <f>" type2: """&amp;MASTER!D12&amp;""""</f>
        <v xml:space="preserve"> type2: ""</v>
      </c>
      <c r="G11" t="str">
        <f>" location: """&amp;_xlfn.TEXTJOIN(" ",1,TRIM(MASTER!M12))&amp;""""</f>
        <v xml:space="preserve"> location: "None"</v>
      </c>
      <c r="H11" t="e">
        <f>" evolve: """&amp;MASTER!#REF!&amp;""" }"</f>
        <v>#REF!</v>
      </c>
      <c r="I11" s="25" t="e">
        <f t="shared" si="1"/>
        <v>#REF!</v>
      </c>
    </row>
    <row r="12" spans="1:9" x14ac:dyDescent="0.2">
      <c r="A12" t="str">
        <f>"{ id: """&amp;MASTER!H13&amp;""""</f>
        <v>{ id: "012"</v>
      </c>
      <c r="B12" t="str">
        <f>" id2: """&amp;MASTER!G13&amp;""""</f>
        <v xml:space="preserve"> id2: ""</v>
      </c>
      <c r="C12" t="str">
        <f>" name: """&amp;MASTER!B13&amp;""""</f>
        <v xml:space="preserve"> name: "Butterfree"</v>
      </c>
      <c r="D12" t="str">
        <f t="shared" si="0"/>
        <v xml:space="preserve"> img: "butterfree.gif"</v>
      </c>
      <c r="E12" t="str">
        <f>" type1: """&amp;MASTER!C13&amp;""""</f>
        <v xml:space="preserve"> type1: "Bug"</v>
      </c>
      <c r="F12" t="str">
        <f>" type2: """&amp;MASTER!D13&amp;""""</f>
        <v xml:space="preserve"> type2: "Flying"</v>
      </c>
      <c r="G12" t="str">
        <f>" location: """&amp;_xlfn.TEXTJOIN(" ",1,TRIM(MASTER!M13))&amp;""""</f>
        <v xml:space="preserve"> location: "None"</v>
      </c>
      <c r="H12" t="e">
        <f>" evolve: """&amp;MASTER!#REF!&amp;""" }"</f>
        <v>#REF!</v>
      </c>
      <c r="I12" s="25" t="e">
        <f t="shared" si="1"/>
        <v>#REF!</v>
      </c>
    </row>
    <row r="13" spans="1:9" x14ac:dyDescent="0.2">
      <c r="A13" t="str">
        <f>"{ id: """&amp;MASTER!H14&amp;""""</f>
        <v>{ id: "013"</v>
      </c>
      <c r="B13" t="str">
        <f>" id2: """&amp;MASTER!G14&amp;""""</f>
        <v xml:space="preserve"> id2: ""</v>
      </c>
      <c r="C13" t="str">
        <f>" name: """&amp;MASTER!B14&amp;""""</f>
        <v xml:space="preserve"> name: "Weedle"</v>
      </c>
      <c r="D13" t="str">
        <f t="shared" si="0"/>
        <v xml:space="preserve"> img: "weedle.gif"</v>
      </c>
      <c r="E13" t="str">
        <f>" type1: """&amp;MASTER!C14&amp;""""</f>
        <v xml:space="preserve"> type1: "Bug"</v>
      </c>
      <c r="F13" t="str">
        <f>" type2: """&amp;MASTER!D14&amp;""""</f>
        <v xml:space="preserve"> type2: "Poison"</v>
      </c>
      <c r="G13" t="str">
        <f>" location: """&amp;_xlfn.TEXTJOIN(" ",1,TRIM(MASTER!M14))&amp;""""</f>
        <v xml:space="preserve"> location: "Spacious Cave 👣 ⚪only"</v>
      </c>
      <c r="H13" t="e">
        <f>" evolve: """&amp;MASTER!#REF!&amp;""" }"</f>
        <v>#REF!</v>
      </c>
      <c r="I13" s="25" t="e">
        <f t="shared" si="1"/>
        <v>#REF!</v>
      </c>
    </row>
    <row r="14" spans="1:9" x14ac:dyDescent="0.2">
      <c r="A14" t="str">
        <f>"{ id: """&amp;MASTER!H15&amp;""""</f>
        <v>{ id: "014"</v>
      </c>
      <c r="B14" t="str">
        <f>" id2: """&amp;MASTER!G15&amp;""""</f>
        <v xml:space="preserve"> id2: ""</v>
      </c>
      <c r="C14" t="str">
        <f>" name: """&amp;MASTER!B15&amp;""""</f>
        <v xml:space="preserve"> name: "Kakuna"</v>
      </c>
      <c r="D14" t="str">
        <f t="shared" si="0"/>
        <v xml:space="preserve"> img: "kakuna.gif"</v>
      </c>
      <c r="E14" t="str">
        <f>" type1: """&amp;MASTER!C15&amp;""""</f>
        <v xml:space="preserve"> type1: "Bug"</v>
      </c>
      <c r="F14" t="str">
        <f>" type2: """&amp;MASTER!D15&amp;""""</f>
        <v xml:space="preserve"> type2: "Poison"</v>
      </c>
      <c r="G14" t="str">
        <f>" location: """&amp;_xlfn.TEXTJOIN(" ",1,TRIM(MASTER!M15))&amp;""""</f>
        <v xml:space="preserve"> location: "None"</v>
      </c>
      <c r="H14" t="e">
        <f>" evolve: """&amp;MASTER!#REF!&amp;""" }"</f>
        <v>#REF!</v>
      </c>
      <c r="I14" s="25" t="e">
        <f t="shared" si="1"/>
        <v>#REF!</v>
      </c>
    </row>
    <row r="15" spans="1:9" x14ac:dyDescent="0.2">
      <c r="A15" t="str">
        <f>"{ id: """&amp;MASTER!H16&amp;""""</f>
        <v>{ id: "015"</v>
      </c>
      <c r="B15" t="str">
        <f>" id2: """&amp;MASTER!G16&amp;""""</f>
        <v xml:space="preserve"> id2: ""</v>
      </c>
      <c r="C15" t="str">
        <f>" name: """&amp;MASTER!B16&amp;""""</f>
        <v xml:space="preserve"> name: "Beedrill"</v>
      </c>
      <c r="D15" t="str">
        <f t="shared" si="0"/>
        <v xml:space="preserve"> img: "beedrill.gif"</v>
      </c>
      <c r="E15" t="str">
        <f>" type1: """&amp;MASTER!C16&amp;""""</f>
        <v xml:space="preserve"> type1: "Bug"</v>
      </c>
      <c r="F15" t="str">
        <f>" type2: """&amp;MASTER!D16&amp;""""</f>
        <v xml:space="preserve"> type2: "Poison"</v>
      </c>
      <c r="G15" t="str">
        <f>" location: """&amp;_xlfn.TEXTJOIN(" ",1,TRIM(MASTER!M16))&amp;""""</f>
        <v xml:space="preserve"> location: "None"</v>
      </c>
      <c r="H15" t="e">
        <f>" evolve: """&amp;MASTER!#REF!&amp;""" }"</f>
        <v>#REF!</v>
      </c>
      <c r="I15" s="25" t="e">
        <f t="shared" si="1"/>
        <v>#REF!</v>
      </c>
    </row>
    <row r="16" spans="1:9" x14ac:dyDescent="0.2">
      <c r="A16" t="str">
        <f>"{ id: """&amp;MASTER!H17&amp;""""</f>
        <v>{ id: "016"</v>
      </c>
      <c r="B16" t="str">
        <f>" id2: """&amp;MASTER!G17&amp;""""</f>
        <v xml:space="preserve"> id2: ""</v>
      </c>
      <c r="C16" t="str">
        <f>" name: """&amp;MASTER!B17&amp;""""</f>
        <v xml:space="preserve"> name: "Pidgey"</v>
      </c>
      <c r="D16" t="str">
        <f t="shared" si="0"/>
        <v xml:space="preserve"> img: "pidgey.gif"</v>
      </c>
      <c r="E16" t="str">
        <f>" type1: """&amp;MASTER!C17&amp;""""</f>
        <v xml:space="preserve"> type1: "Normal"</v>
      </c>
      <c r="F16" t="str">
        <f>" type2: """&amp;MASTER!D17&amp;""""</f>
        <v xml:space="preserve"> type2: "Flying"</v>
      </c>
      <c r="G16" t="str">
        <f>" location: """&amp;_xlfn.TEXTJOIN(" ",1,TRIM(MASTER!M17))&amp;""""</f>
        <v xml:space="preserve"> location: "Route 229 🐝"</v>
      </c>
      <c r="H16" t="e">
        <f>" evolve: """&amp;MASTER!#REF!&amp;""" }"</f>
        <v>#REF!</v>
      </c>
      <c r="I16" s="25" t="e">
        <f t="shared" si="1"/>
        <v>#REF!</v>
      </c>
    </row>
    <row r="17" spans="1:9" x14ac:dyDescent="0.2">
      <c r="A17" t="str">
        <f>"{ id: """&amp;MASTER!H18&amp;""""</f>
        <v>{ id: "017"</v>
      </c>
      <c r="B17" t="str">
        <f>" id2: """&amp;MASTER!G18&amp;""""</f>
        <v xml:space="preserve"> id2: ""</v>
      </c>
      <c r="C17" t="str">
        <f>" name: """&amp;MASTER!B18&amp;""""</f>
        <v xml:space="preserve"> name: "Pidgeotto"</v>
      </c>
      <c r="D17" t="str">
        <f t="shared" si="0"/>
        <v xml:space="preserve"> img: "pidgeotto.gif"</v>
      </c>
      <c r="E17" t="str">
        <f>" type1: """&amp;MASTER!C18&amp;""""</f>
        <v xml:space="preserve"> type1: "Normal"</v>
      </c>
      <c r="F17" t="str">
        <f>" type2: """&amp;MASTER!D18&amp;""""</f>
        <v xml:space="preserve"> type2: "Flying"</v>
      </c>
      <c r="G17" t="str">
        <f>" location: """&amp;_xlfn.TEXTJOIN(" ",1,TRIM(MASTER!M18))&amp;""""</f>
        <v xml:space="preserve"> location: "None"</v>
      </c>
      <c r="H17" t="e">
        <f>" evolve: """&amp;MASTER!#REF!&amp;""" }"</f>
        <v>#REF!</v>
      </c>
      <c r="I17" s="25" t="e">
        <f t="shared" si="1"/>
        <v>#REF!</v>
      </c>
    </row>
    <row r="18" spans="1:9" x14ac:dyDescent="0.2">
      <c r="A18" t="str">
        <f>"{ id: """&amp;MASTER!H19&amp;""""</f>
        <v>{ id: "018"</v>
      </c>
      <c r="B18" t="str">
        <f>" id2: """&amp;MASTER!G19&amp;""""</f>
        <v xml:space="preserve"> id2: ""</v>
      </c>
      <c r="C18" t="str">
        <f>" name: """&amp;MASTER!B19&amp;""""</f>
        <v xml:space="preserve"> name: "Pidgeot"</v>
      </c>
      <c r="D18" t="str">
        <f t="shared" si="0"/>
        <v xml:space="preserve"> img: "pidgeot.gif"</v>
      </c>
      <c r="E18" t="str">
        <f>" type1: """&amp;MASTER!C19&amp;""""</f>
        <v xml:space="preserve"> type1: "Normal"</v>
      </c>
      <c r="F18" t="str">
        <f>" type2: """&amp;MASTER!D19&amp;""""</f>
        <v xml:space="preserve"> type2: "Flying"</v>
      </c>
      <c r="G18" t="str">
        <f>" location: """&amp;_xlfn.TEXTJOIN(" ",1,TRIM(MASTER!M19))&amp;""""</f>
        <v xml:space="preserve"> location: "None"</v>
      </c>
      <c r="H18" t="e">
        <f>" evolve: """&amp;MASTER!#REF!&amp;""" }"</f>
        <v>#REF!</v>
      </c>
      <c r="I18" s="25" t="e">
        <f t="shared" si="1"/>
        <v>#REF!</v>
      </c>
    </row>
    <row r="19" spans="1:9" x14ac:dyDescent="0.2">
      <c r="A19" t="str">
        <f>"{ id: """&amp;MASTER!H20&amp;""""</f>
        <v>{ id: "019"</v>
      </c>
      <c r="B19" t="str">
        <f>" id2: """&amp;MASTER!G20&amp;""""</f>
        <v xml:space="preserve"> id2: ""</v>
      </c>
      <c r="C19" t="str">
        <f>" name: """&amp;MASTER!B20&amp;""""</f>
        <v xml:space="preserve"> name: "Rattata"</v>
      </c>
      <c r="D19" t="str">
        <f t="shared" si="0"/>
        <v xml:space="preserve"> img: "rattata.gif"</v>
      </c>
      <c r="E19" t="str">
        <f>" type1: """&amp;MASTER!C20&amp;""""</f>
        <v xml:space="preserve"> type1: "Normal"</v>
      </c>
      <c r="F19" t="str">
        <f>" type2: """&amp;MASTER!D20&amp;""""</f>
        <v xml:space="preserve"> type2: ""</v>
      </c>
      <c r="G19" t="str">
        <f>" location: """&amp;_xlfn.TEXTJOIN(" ",1,TRIM(MASTER!M20))&amp;""""</f>
        <v xml:space="preserve"> location: "Spacious Cave 👣"</v>
      </c>
      <c r="H19" t="e">
        <f>" evolve: """&amp;MASTER!#REF!&amp;""" }"</f>
        <v>#REF!</v>
      </c>
      <c r="I19" s="25" t="e">
        <f t="shared" si="1"/>
        <v>#REF!</v>
      </c>
    </row>
    <row r="20" spans="1:9" x14ac:dyDescent="0.2">
      <c r="A20" t="str">
        <f>"{ id: """&amp;MASTER!H21&amp;""""</f>
        <v>{ id: "020"</v>
      </c>
      <c r="B20" t="str">
        <f>" id2: """&amp;MASTER!G21&amp;""""</f>
        <v xml:space="preserve"> id2: ""</v>
      </c>
      <c r="C20" t="str">
        <f>" name: """&amp;MASTER!B21&amp;""""</f>
        <v xml:space="preserve"> name: "Raticate"</v>
      </c>
      <c r="D20" t="str">
        <f t="shared" si="0"/>
        <v xml:space="preserve"> img: "raticate.gif"</v>
      </c>
      <c r="E20" t="str">
        <f>" type1: """&amp;MASTER!C21&amp;""""</f>
        <v xml:space="preserve"> type1: "Normal"</v>
      </c>
      <c r="F20" t="str">
        <f>" type2: """&amp;MASTER!D21&amp;""""</f>
        <v xml:space="preserve"> type2: ""</v>
      </c>
      <c r="G20" t="str">
        <f>" location: """&amp;_xlfn.TEXTJOIN(" ",1,TRIM(MASTER!M21))&amp;""""</f>
        <v xml:space="preserve"> location: "Spacious Cave 👣"</v>
      </c>
      <c r="H20" t="e">
        <f>" evolve: """&amp;MASTER!#REF!&amp;""" }"</f>
        <v>#REF!</v>
      </c>
      <c r="I20" s="25" t="e">
        <f t="shared" si="1"/>
        <v>#REF!</v>
      </c>
    </row>
    <row r="21" spans="1:9" x14ac:dyDescent="0.2">
      <c r="A21" t="str">
        <f>"{ id: """&amp;MASTER!H22&amp;""""</f>
        <v>{ id: "021"</v>
      </c>
      <c r="B21" t="str">
        <f>" id2: """&amp;MASTER!G22&amp;""""</f>
        <v xml:space="preserve"> id2: ""</v>
      </c>
      <c r="C21" t="str">
        <f>" name: """&amp;MASTER!B22&amp;""""</f>
        <v xml:space="preserve"> name: "Spearow"</v>
      </c>
      <c r="D21" t="str">
        <f t="shared" si="0"/>
        <v xml:space="preserve"> img: "spearow.gif"</v>
      </c>
      <c r="E21" t="str">
        <f>" type1: """&amp;MASTER!C22&amp;""""</f>
        <v xml:space="preserve"> type1: "Normal"</v>
      </c>
      <c r="F21" t="str">
        <f>" type2: """&amp;MASTER!D22&amp;""""</f>
        <v xml:space="preserve"> type2: "Flying"</v>
      </c>
      <c r="G21" t="str">
        <f>" location: """&amp;_xlfn.TEXTJOIN(" ",1,TRIM(MASTER!M22))&amp;""""</f>
        <v xml:space="preserve"> location: "Spacious Cave 👣"</v>
      </c>
      <c r="H21" t="e">
        <f>" evolve: """&amp;MASTER!#REF!&amp;""" }"</f>
        <v>#REF!</v>
      </c>
      <c r="I21" s="25" t="e">
        <f t="shared" si="1"/>
        <v>#REF!</v>
      </c>
    </row>
    <row r="22" spans="1:9" x14ac:dyDescent="0.2">
      <c r="A22" t="str">
        <f>"{ id: """&amp;MASTER!H23&amp;""""</f>
        <v>{ id: "022"</v>
      </c>
      <c r="B22" t="str">
        <f>" id2: """&amp;MASTER!G23&amp;""""</f>
        <v xml:space="preserve"> id2: ""</v>
      </c>
      <c r="C22" t="str">
        <f>" name: """&amp;MASTER!B23&amp;""""</f>
        <v xml:space="preserve"> name: "Fearow"</v>
      </c>
      <c r="D22" t="str">
        <f t="shared" si="0"/>
        <v xml:space="preserve"> img: "fearow.gif"</v>
      </c>
      <c r="E22" t="str">
        <f>" type1: """&amp;MASTER!C23&amp;""""</f>
        <v xml:space="preserve"> type1: "Normal"</v>
      </c>
      <c r="F22" t="str">
        <f>" type2: """&amp;MASTER!D23&amp;""""</f>
        <v xml:space="preserve"> type2: "Flying"</v>
      </c>
      <c r="G22" t="str">
        <f>" location: """&amp;_xlfn.TEXTJOIN(" ",1,TRIM(MASTER!M23))&amp;""""</f>
        <v xml:space="preserve"> location: "Route 226 👣 🌅🏙️"</v>
      </c>
      <c r="H22" t="e">
        <f>" evolve: """&amp;MASTER!#REF!&amp;""" }"</f>
        <v>#REF!</v>
      </c>
      <c r="I22" s="25" t="e">
        <f t="shared" si="1"/>
        <v>#REF!</v>
      </c>
    </row>
    <row r="23" spans="1:9" x14ac:dyDescent="0.2">
      <c r="A23" t="str">
        <f>"{ id: """&amp;MASTER!H24&amp;""""</f>
        <v>{ id: "023"</v>
      </c>
      <c r="B23" t="str">
        <f>" id2: """&amp;MASTER!G24&amp;""""</f>
        <v xml:space="preserve"> id2: ""</v>
      </c>
      <c r="C23" t="str">
        <f>" name: """&amp;MASTER!B24&amp;""""</f>
        <v xml:space="preserve"> name: "Ekans"</v>
      </c>
      <c r="D23" t="str">
        <f t="shared" si="0"/>
        <v xml:space="preserve"> img: "ekans.gif"</v>
      </c>
      <c r="E23" t="str">
        <f>" type1: """&amp;MASTER!C24&amp;""""</f>
        <v xml:space="preserve"> type1: "Poison"</v>
      </c>
      <c r="F23" t="str">
        <f>" type2: """&amp;MASTER!D24&amp;""""</f>
        <v xml:space="preserve"> type2: ""</v>
      </c>
      <c r="G23" t="str">
        <f>" location: """&amp;_xlfn.TEXTJOIN(" ",1,TRIM(MASTER!M24))&amp;""""</f>
        <v xml:space="preserve"> location: "Grassland Cave 👣 💎only"</v>
      </c>
      <c r="H23" t="e">
        <f>" evolve: """&amp;MASTER!#REF!&amp;""" }"</f>
        <v>#REF!</v>
      </c>
      <c r="I23" s="25" t="e">
        <f t="shared" si="1"/>
        <v>#REF!</v>
      </c>
    </row>
    <row r="24" spans="1:9" x14ac:dyDescent="0.2">
      <c r="A24" t="str">
        <f>"{ id: """&amp;MASTER!H25&amp;""""</f>
        <v>{ id: "024"</v>
      </c>
      <c r="B24" t="str">
        <f>" id2: """&amp;MASTER!G25&amp;""""</f>
        <v xml:space="preserve"> id2: ""</v>
      </c>
      <c r="C24" t="str">
        <f>" name: """&amp;MASTER!B25&amp;""""</f>
        <v xml:space="preserve"> name: "Arbok"</v>
      </c>
      <c r="D24" t="str">
        <f t="shared" si="0"/>
        <v xml:space="preserve"> img: "arbok.gif"</v>
      </c>
      <c r="E24" t="str">
        <f>" type1: """&amp;MASTER!C25&amp;""""</f>
        <v xml:space="preserve"> type1: "Poison"</v>
      </c>
      <c r="F24" t="str">
        <f>" type2: """&amp;MASTER!D25&amp;""""</f>
        <v xml:space="preserve"> type2: ""</v>
      </c>
      <c r="G24" t="str">
        <f>" location: """&amp;_xlfn.TEXTJOIN(" ",1,TRIM(MASTER!M25))&amp;""""</f>
        <v xml:space="preserve"> location: "None"</v>
      </c>
      <c r="H24" t="e">
        <f>" evolve: """&amp;MASTER!#REF!&amp;""" }"</f>
        <v>#REF!</v>
      </c>
      <c r="I24" s="25" t="e">
        <f t="shared" si="1"/>
        <v>#REF!</v>
      </c>
    </row>
    <row r="25" spans="1:9" x14ac:dyDescent="0.2">
      <c r="A25" t="str">
        <f>"{ id: """&amp;MASTER!H26&amp;""""</f>
        <v>{ id: "025"</v>
      </c>
      <c r="B25" t="str">
        <f>" id2: """&amp;MASTER!G26&amp;""""</f>
        <v xml:space="preserve"> id2: "104"</v>
      </c>
      <c r="C25" t="str">
        <f>" name: """&amp;MASTER!B26&amp;""""</f>
        <v xml:space="preserve"> name: "Pikachu"</v>
      </c>
      <c r="D25" t="str">
        <f t="shared" si="0"/>
        <v xml:space="preserve"> img: "pikachu.gif"</v>
      </c>
      <c r="E25" t="str">
        <f>" type1: """&amp;MASTER!C26&amp;""""</f>
        <v xml:space="preserve"> type1: "Electric"</v>
      </c>
      <c r="F25" t="str">
        <f>" type2: """&amp;MASTER!D26&amp;""""</f>
        <v xml:space="preserve"> type2: ""</v>
      </c>
      <c r="G25" t="str">
        <f>" location: """&amp;_xlfn.TEXTJOIN(" ",1,TRIM(MASTER!M26))&amp;""""</f>
        <v xml:space="preserve"> location: "Trophy Garden 👣 20%"</v>
      </c>
      <c r="H25" t="e">
        <f>" evolve: """&amp;MASTER!#REF!&amp;""" }"</f>
        <v>#REF!</v>
      </c>
      <c r="I25" s="25" t="e">
        <f t="shared" si="1"/>
        <v>#REF!</v>
      </c>
    </row>
    <row r="26" spans="1:9" x14ac:dyDescent="0.2">
      <c r="A26" t="str">
        <f>"{ id: """&amp;MASTER!H27&amp;""""</f>
        <v>{ id: "026"</v>
      </c>
      <c r="B26" t="str">
        <f>" id2: """&amp;MASTER!G27&amp;""""</f>
        <v xml:space="preserve"> id2: "105"</v>
      </c>
      <c r="C26" t="str">
        <f>" name: """&amp;MASTER!B27&amp;""""</f>
        <v xml:space="preserve"> name: "Raichu"</v>
      </c>
      <c r="D26" t="str">
        <f t="shared" si="0"/>
        <v xml:space="preserve"> img: "raichu.gif"</v>
      </c>
      <c r="E26" t="str">
        <f>" type1: """&amp;MASTER!C27&amp;""""</f>
        <v xml:space="preserve"> type1: "Electric"</v>
      </c>
      <c r="F26" t="str">
        <f>" type2: """&amp;MASTER!D27&amp;""""</f>
        <v xml:space="preserve"> type2: ""</v>
      </c>
      <c r="G26" t="str">
        <f>" location: """&amp;_xlfn.TEXTJOIN(" ",1,TRIM(MASTER!M27))&amp;""""</f>
        <v xml:space="preserve"> location: "None"</v>
      </c>
      <c r="H26" t="e">
        <f>" evolve: """&amp;MASTER!#REF!&amp;""" }"</f>
        <v>#REF!</v>
      </c>
      <c r="I26" s="25" t="e">
        <f t="shared" si="1"/>
        <v>#REF!</v>
      </c>
    </row>
    <row r="27" spans="1:9" x14ac:dyDescent="0.2">
      <c r="A27" t="str">
        <f>"{ id: """&amp;MASTER!H28&amp;""""</f>
        <v>{ id: "027"</v>
      </c>
      <c r="B27" t="str">
        <f>" id2: """&amp;MASTER!G28&amp;""""</f>
        <v xml:space="preserve"> id2: ""</v>
      </c>
      <c r="C27" t="str">
        <f>" name: """&amp;MASTER!B28&amp;""""</f>
        <v xml:space="preserve"> name: "Sandshrew"</v>
      </c>
      <c r="D27" t="str">
        <f t="shared" si="0"/>
        <v xml:space="preserve"> img: "sandshrew.gif"</v>
      </c>
      <c r="E27" t="str">
        <f>" type1: """&amp;MASTER!C28&amp;""""</f>
        <v xml:space="preserve"> type1: "Ground"</v>
      </c>
      <c r="F27" t="str">
        <f>" type2: """&amp;MASTER!D28&amp;""""</f>
        <v xml:space="preserve"> type2: ""</v>
      </c>
      <c r="G27" t="str">
        <f>" location: """&amp;_xlfn.TEXTJOIN(" ",1,TRIM(MASTER!M28))&amp;""""</f>
        <v xml:space="preserve"> location: "Spacious Cave 👣 ⚪only"</v>
      </c>
      <c r="H27" t="e">
        <f>" evolve: """&amp;MASTER!#REF!&amp;""" }"</f>
        <v>#REF!</v>
      </c>
      <c r="I27" s="25" t="e">
        <f t="shared" si="1"/>
        <v>#REF!</v>
      </c>
    </row>
    <row r="28" spans="1:9" x14ac:dyDescent="0.2">
      <c r="A28" t="str">
        <f>"{ id: """&amp;MASTER!H29&amp;""""</f>
        <v>{ id: "028"</v>
      </c>
      <c r="B28" t="str">
        <f>" id2: """&amp;MASTER!G29&amp;""""</f>
        <v xml:space="preserve"> id2: ""</v>
      </c>
      <c r="C28" t="str">
        <f>" name: """&amp;MASTER!B29&amp;""""</f>
        <v xml:space="preserve"> name: "Sandslash"</v>
      </c>
      <c r="D28" t="str">
        <f t="shared" si="0"/>
        <v xml:space="preserve"> img: "sandslash.gif"</v>
      </c>
      <c r="E28" t="str">
        <f>" type1: """&amp;MASTER!C29&amp;""""</f>
        <v xml:space="preserve"> type1: "Ground"</v>
      </c>
      <c r="F28" t="str">
        <f>" type2: """&amp;MASTER!D29&amp;""""</f>
        <v xml:space="preserve"> type2: ""</v>
      </c>
      <c r="G28" t="str">
        <f>" location: """&amp;_xlfn.TEXTJOIN(" ",1,TRIM(MASTER!M29))&amp;""""</f>
        <v xml:space="preserve"> location: "Spacious Cave 👣 ⚪only"</v>
      </c>
      <c r="H28" t="e">
        <f>" evolve: """&amp;MASTER!#REF!&amp;""" }"</f>
        <v>#REF!</v>
      </c>
      <c r="I28" s="25" t="e">
        <f t="shared" si="1"/>
        <v>#REF!</v>
      </c>
    </row>
    <row r="29" spans="1:9" x14ac:dyDescent="0.2">
      <c r="A29" t="str">
        <f>"{ id: """&amp;MASTER!H30&amp;""""</f>
        <v>{ id: "029"</v>
      </c>
      <c r="B29" t="str">
        <f>" id2: """&amp;MASTER!G30&amp;""""</f>
        <v xml:space="preserve"> id2: ""</v>
      </c>
      <c r="C29" t="str">
        <f>" name: """&amp;MASTER!B30&amp;""""</f>
        <v xml:space="preserve"> name: "Nidoran♀"</v>
      </c>
      <c r="D29" t="str">
        <f t="shared" si="0"/>
        <v xml:space="preserve"> img: "nidoran♀.gif"</v>
      </c>
      <c r="E29" t="str">
        <f>" type1: """&amp;MASTER!C30&amp;""""</f>
        <v xml:space="preserve"> type1: "Poison"</v>
      </c>
      <c r="F29" t="str">
        <f>" type2: """&amp;MASTER!D30&amp;""""</f>
        <v xml:space="preserve"> type2: ""</v>
      </c>
      <c r="G29" t="str">
        <f>" location: """&amp;_xlfn.TEXTJOIN(" ",1,TRIM(MASTER!M30))&amp;""""</f>
        <v xml:space="preserve"> location: "Grassland Cave 👣"</v>
      </c>
      <c r="H29" t="e">
        <f>" evolve: """&amp;MASTER!#REF!&amp;""" }"</f>
        <v>#REF!</v>
      </c>
      <c r="I29" s="25" t="e">
        <f t="shared" si="1"/>
        <v>#REF!</v>
      </c>
    </row>
    <row r="30" spans="1:9" x14ac:dyDescent="0.2">
      <c r="A30" t="str">
        <f>"{ id: """&amp;MASTER!H31&amp;""""</f>
        <v>{ id: "030"</v>
      </c>
      <c r="B30" t="str">
        <f>" id2: """&amp;MASTER!G31&amp;""""</f>
        <v xml:space="preserve"> id2: ""</v>
      </c>
      <c r="C30" t="str">
        <f>" name: """&amp;MASTER!B31&amp;""""</f>
        <v xml:space="preserve"> name: "Nidorina"</v>
      </c>
      <c r="D30" t="str">
        <f t="shared" si="0"/>
        <v xml:space="preserve"> img: "nidorina.gif"</v>
      </c>
      <c r="E30" t="str">
        <f>" type1: """&amp;MASTER!C31&amp;""""</f>
        <v xml:space="preserve"> type1: "Poison"</v>
      </c>
      <c r="F30" t="str">
        <f>" type2: """&amp;MASTER!D31&amp;""""</f>
        <v xml:space="preserve"> type2: ""</v>
      </c>
      <c r="G30" t="str">
        <f>" location: """&amp;_xlfn.TEXTJOIN(" ",1,TRIM(MASTER!M31))&amp;""""</f>
        <v xml:space="preserve"> location: "Grassland Cave 👣"</v>
      </c>
      <c r="H30" t="e">
        <f>" evolve: """&amp;MASTER!#REF!&amp;""" }"</f>
        <v>#REF!</v>
      </c>
      <c r="I30" s="25" t="e">
        <f t="shared" si="1"/>
        <v>#REF!</v>
      </c>
    </row>
    <row r="31" spans="1:9" x14ac:dyDescent="0.2">
      <c r="A31" t="str">
        <f>"{ id: """&amp;MASTER!H32&amp;""""</f>
        <v>{ id: "031"</v>
      </c>
      <c r="B31" t="str">
        <f>" id2: """&amp;MASTER!G32&amp;""""</f>
        <v xml:space="preserve"> id2: ""</v>
      </c>
      <c r="C31" t="str">
        <f>" name: """&amp;MASTER!B32&amp;""""</f>
        <v xml:space="preserve"> name: "Nidoqueen"</v>
      </c>
      <c r="D31" t="str">
        <f t="shared" si="0"/>
        <v xml:space="preserve"> img: "nidoqueen.gif"</v>
      </c>
      <c r="E31" t="str">
        <f>" type1: """&amp;MASTER!C32&amp;""""</f>
        <v xml:space="preserve"> type1: "Poison"</v>
      </c>
      <c r="F31" t="str">
        <f>" type2: """&amp;MASTER!D32&amp;""""</f>
        <v xml:space="preserve"> type2: "Ground"</v>
      </c>
      <c r="G31" t="str">
        <f>" location: """&amp;_xlfn.TEXTJOIN(" ",1,TRIM(MASTER!M32))&amp;""""</f>
        <v xml:space="preserve"> location: "None"</v>
      </c>
      <c r="H31" t="e">
        <f>" evolve: """&amp;MASTER!#REF!&amp;""" }"</f>
        <v>#REF!</v>
      </c>
      <c r="I31" s="25" t="e">
        <f t="shared" si="1"/>
        <v>#REF!</v>
      </c>
    </row>
    <row r="32" spans="1:9" x14ac:dyDescent="0.2">
      <c r="A32" t="str">
        <f>"{ id: """&amp;MASTER!H33&amp;""""</f>
        <v>{ id: "032"</v>
      </c>
      <c r="B32" t="str">
        <f>" id2: """&amp;MASTER!G33&amp;""""</f>
        <v xml:space="preserve"> id2: ""</v>
      </c>
      <c r="C32" t="str">
        <f>" name: """&amp;MASTER!B33&amp;""""</f>
        <v xml:space="preserve"> name: "Nidoran♂"</v>
      </c>
      <c r="D32" t="str">
        <f t="shared" si="0"/>
        <v xml:space="preserve"> img: "nidoran♂.gif"</v>
      </c>
      <c r="E32" t="str">
        <f>" type1: """&amp;MASTER!C33&amp;""""</f>
        <v xml:space="preserve"> type1: "Poison"</v>
      </c>
      <c r="F32" t="str">
        <f>" type2: """&amp;MASTER!D33&amp;""""</f>
        <v xml:space="preserve"> type2: ""</v>
      </c>
      <c r="G32" t="str">
        <f>" location: """&amp;_xlfn.TEXTJOIN(" ",1,TRIM(MASTER!M33))&amp;""""</f>
        <v xml:space="preserve"> location: "Grassland Cave 👣"</v>
      </c>
      <c r="H32" t="e">
        <f>" evolve: """&amp;MASTER!#REF!&amp;""" }"</f>
        <v>#REF!</v>
      </c>
      <c r="I32" s="25" t="e">
        <f t="shared" si="1"/>
        <v>#REF!</v>
      </c>
    </row>
    <row r="33" spans="1:9" x14ac:dyDescent="0.2">
      <c r="A33" t="str">
        <f>"{ id: """&amp;MASTER!H34&amp;""""</f>
        <v>{ id: "033"</v>
      </c>
      <c r="B33" t="str">
        <f>" id2: """&amp;MASTER!G34&amp;""""</f>
        <v xml:space="preserve"> id2: ""</v>
      </c>
      <c r="C33" t="str">
        <f>" name: """&amp;MASTER!B34&amp;""""</f>
        <v xml:space="preserve"> name: "Nidorino"</v>
      </c>
      <c r="D33" t="str">
        <f t="shared" si="0"/>
        <v xml:space="preserve"> img: "nidorino.gif"</v>
      </c>
      <c r="E33" t="str">
        <f>" type1: """&amp;MASTER!C34&amp;""""</f>
        <v xml:space="preserve"> type1: "Poison"</v>
      </c>
      <c r="F33" t="str">
        <f>" type2: """&amp;MASTER!D34&amp;""""</f>
        <v xml:space="preserve"> type2: ""</v>
      </c>
      <c r="G33" t="str">
        <f>" location: """&amp;_xlfn.TEXTJOIN(" ",1,TRIM(MASTER!M34))&amp;""""</f>
        <v xml:space="preserve"> location: "Grassland Cave 👣"</v>
      </c>
      <c r="H33" t="e">
        <f>" evolve: """&amp;MASTER!#REF!&amp;""" }"</f>
        <v>#REF!</v>
      </c>
      <c r="I33" s="25" t="e">
        <f t="shared" si="1"/>
        <v>#REF!</v>
      </c>
    </row>
    <row r="34" spans="1:9" x14ac:dyDescent="0.2">
      <c r="A34" t="str">
        <f>"{ id: """&amp;MASTER!H35&amp;""""</f>
        <v>{ id: "034"</v>
      </c>
      <c r="B34" t="str">
        <f>" id2: """&amp;MASTER!G35&amp;""""</f>
        <v xml:space="preserve"> id2: ""</v>
      </c>
      <c r="C34" t="str">
        <f>" name: """&amp;MASTER!B35&amp;""""</f>
        <v xml:space="preserve"> name: "Nidoking"</v>
      </c>
      <c r="D34" t="str">
        <f t="shared" si="0"/>
        <v xml:space="preserve"> img: "nidoking.gif"</v>
      </c>
      <c r="E34" t="str">
        <f>" type1: """&amp;MASTER!C35&amp;""""</f>
        <v xml:space="preserve"> type1: "Poison"</v>
      </c>
      <c r="F34" t="str">
        <f>" type2: """&amp;MASTER!D35&amp;""""</f>
        <v xml:space="preserve"> type2: "Ground"</v>
      </c>
      <c r="G34" t="str">
        <f>" location: """&amp;_xlfn.TEXTJOIN(" ",1,TRIM(MASTER!M35))&amp;""""</f>
        <v xml:space="preserve"> location: "None"</v>
      </c>
      <c r="H34" t="e">
        <f>" evolve: """&amp;MASTER!#REF!&amp;""" }"</f>
        <v>#REF!</v>
      </c>
      <c r="I34" s="25" t="e">
        <f t="shared" si="1"/>
        <v>#REF!</v>
      </c>
    </row>
    <row r="35" spans="1:9" x14ac:dyDescent="0.2">
      <c r="A35" t="str">
        <f>"{ id: """&amp;MASTER!H36&amp;""""</f>
        <v>{ id: "035"</v>
      </c>
      <c r="B35" t="str">
        <f>" id2: """&amp;MASTER!G36&amp;""""</f>
        <v xml:space="preserve"> id2: "100"</v>
      </c>
      <c r="C35" t="str">
        <f>" name: """&amp;MASTER!B36&amp;""""</f>
        <v xml:space="preserve"> name: "Clefairy"</v>
      </c>
      <c r="D35" t="str">
        <f t="shared" si="0"/>
        <v xml:space="preserve"> img: "clefairy.gif"</v>
      </c>
      <c r="E35" t="str">
        <f>" type1: """&amp;MASTER!C36&amp;""""</f>
        <v xml:space="preserve"> type1: "Fairy"</v>
      </c>
      <c r="F35" t="str">
        <f>" type2: """&amp;MASTER!D36&amp;""""</f>
        <v xml:space="preserve"> type2: ""</v>
      </c>
      <c r="G35" t="str">
        <f>" location: """&amp;_xlfn.TEXTJOIN(" ",1,TRIM(MASTER!M36))&amp;""""</f>
        <v xml:space="preserve"> location: "Mt. Coronet 2F 👣 15% 🌅"</v>
      </c>
      <c r="H35" t="e">
        <f>" evolve: """&amp;MASTER!#REF!&amp;""" }"</f>
        <v>#REF!</v>
      </c>
      <c r="I35" s="25" t="e">
        <f t="shared" si="1"/>
        <v>#REF!</v>
      </c>
    </row>
    <row r="36" spans="1:9" x14ac:dyDescent="0.2">
      <c r="A36" t="str">
        <f>"{ id: """&amp;MASTER!H37&amp;""""</f>
        <v>{ id: "036"</v>
      </c>
      <c r="B36" t="str">
        <f>" id2: """&amp;MASTER!G37&amp;""""</f>
        <v xml:space="preserve"> id2: "101"</v>
      </c>
      <c r="C36" t="str">
        <f>" name: """&amp;MASTER!B37&amp;""""</f>
        <v xml:space="preserve"> name: "Clefable"</v>
      </c>
      <c r="D36" t="str">
        <f t="shared" si="0"/>
        <v xml:space="preserve"> img: "clefable.gif"</v>
      </c>
      <c r="E36" t="str">
        <f>" type1: """&amp;MASTER!C37&amp;""""</f>
        <v xml:space="preserve"> type1: "Fairy"</v>
      </c>
      <c r="F36" t="str">
        <f>" type2: """&amp;MASTER!D37&amp;""""</f>
        <v xml:space="preserve"> type2: ""</v>
      </c>
      <c r="G36" t="str">
        <f>" location: """&amp;_xlfn.TEXTJOIN(" ",1,TRIM(MASTER!M37))&amp;""""</f>
        <v xml:space="preserve"> location: "None"</v>
      </c>
      <c r="H36" t="e">
        <f>" evolve: """&amp;MASTER!#REF!&amp;""" }"</f>
        <v>#REF!</v>
      </c>
      <c r="I36" s="25" t="e">
        <f t="shared" si="1"/>
        <v>#REF!</v>
      </c>
    </row>
    <row r="37" spans="1:9" x14ac:dyDescent="0.2">
      <c r="A37" t="str">
        <f>"{ id: """&amp;MASTER!H38&amp;""""</f>
        <v>{ id: "037"</v>
      </c>
      <c r="B37" t="str">
        <f>" id2: """&amp;MASTER!G38&amp;""""</f>
        <v xml:space="preserve"> id2: ""</v>
      </c>
      <c r="C37" t="str">
        <f>" name: """&amp;MASTER!B38&amp;""""</f>
        <v xml:space="preserve"> name: "Vulpix"</v>
      </c>
      <c r="D37" t="str">
        <f t="shared" si="0"/>
        <v xml:space="preserve"> img: "vulpix.gif"</v>
      </c>
      <c r="E37" t="str">
        <f>" type1: """&amp;MASTER!C38&amp;""""</f>
        <v xml:space="preserve"> type1: "Fire"</v>
      </c>
      <c r="F37" t="str">
        <f>" type2: """&amp;MASTER!D38&amp;""""</f>
        <v xml:space="preserve"> type2: ""</v>
      </c>
      <c r="G37" t="str">
        <f>" location: """&amp;_xlfn.TEXTJOIN(" ",1,TRIM(MASTER!M38))&amp;""""</f>
        <v xml:space="preserve"> location: "Spacious Cave 👣 ⚪only"</v>
      </c>
      <c r="H37" t="e">
        <f>" evolve: """&amp;MASTER!#REF!&amp;""" }"</f>
        <v>#REF!</v>
      </c>
      <c r="I37" s="25" t="e">
        <f t="shared" si="1"/>
        <v>#REF!</v>
      </c>
    </row>
    <row r="38" spans="1:9" x14ac:dyDescent="0.2">
      <c r="A38" t="str">
        <f>"{ id: """&amp;MASTER!H39&amp;""""</f>
        <v>{ id: "038"</v>
      </c>
      <c r="B38" t="str">
        <f>" id2: """&amp;MASTER!G39&amp;""""</f>
        <v xml:space="preserve"> id2: ""</v>
      </c>
      <c r="C38" t="str">
        <f>" name: """&amp;MASTER!B39&amp;""""</f>
        <v xml:space="preserve"> name: "Ninetales"</v>
      </c>
      <c r="D38" t="str">
        <f t="shared" si="0"/>
        <v xml:space="preserve"> img: "ninetales.gif"</v>
      </c>
      <c r="E38" t="str">
        <f>" type1: """&amp;MASTER!C39&amp;""""</f>
        <v xml:space="preserve"> type1: "Fire"</v>
      </c>
      <c r="F38" t="str">
        <f>" type2: """&amp;MASTER!D39&amp;""""</f>
        <v xml:space="preserve"> type2: ""</v>
      </c>
      <c r="G38" t="str">
        <f>" location: """&amp;_xlfn.TEXTJOIN(" ",1,TRIM(MASTER!M39))&amp;""""</f>
        <v xml:space="preserve"> location: "None"</v>
      </c>
      <c r="H38" t="e">
        <f>" evolve: """&amp;MASTER!#REF!&amp;""" }"</f>
        <v>#REF!</v>
      </c>
      <c r="I38" s="25" t="e">
        <f t="shared" si="1"/>
        <v>#REF!</v>
      </c>
    </row>
    <row r="39" spans="1:9" x14ac:dyDescent="0.2">
      <c r="A39" t="str">
        <f>"{ id: """&amp;MASTER!H40&amp;""""</f>
        <v>{ id: "039"</v>
      </c>
      <c r="B39" t="str">
        <f>" id2: """&amp;MASTER!G40&amp;""""</f>
        <v xml:space="preserve"> id2: ""</v>
      </c>
      <c r="C39" t="str">
        <f>" name: """&amp;MASTER!B40&amp;""""</f>
        <v xml:space="preserve"> name: "Jigglypuff"</v>
      </c>
      <c r="D39" t="str">
        <f t="shared" si="0"/>
        <v xml:space="preserve"> img: "jigglypuff.gif"</v>
      </c>
      <c r="E39" t="str">
        <f>" type1: """&amp;MASTER!C40&amp;""""</f>
        <v xml:space="preserve"> type1: "Normal"</v>
      </c>
      <c r="F39" t="str">
        <f>" type2: """&amp;MASTER!D40&amp;""""</f>
        <v xml:space="preserve"> type2: "Fairy"</v>
      </c>
      <c r="G39" t="str">
        <f>" location: """&amp;_xlfn.TEXTJOIN(" ",1,TRIM(MASTER!M40))&amp;""""</f>
        <v xml:space="preserve"> location: "Trophy Garden (Special) 👣"</v>
      </c>
      <c r="H39" t="e">
        <f>" evolve: """&amp;MASTER!#REF!&amp;""" }"</f>
        <v>#REF!</v>
      </c>
      <c r="I39" s="25" t="e">
        <f t="shared" si="1"/>
        <v>#REF!</v>
      </c>
    </row>
    <row r="40" spans="1:9" x14ac:dyDescent="0.2">
      <c r="A40" t="str">
        <f>"{ id: """&amp;MASTER!H41&amp;""""</f>
        <v>{ id: "040"</v>
      </c>
      <c r="B40" t="str">
        <f>" id2: """&amp;MASTER!G41&amp;""""</f>
        <v xml:space="preserve"> id2: ""</v>
      </c>
      <c r="C40" t="str">
        <f>" name: """&amp;MASTER!B41&amp;""""</f>
        <v xml:space="preserve"> name: "Wigglytuff"</v>
      </c>
      <c r="D40" t="str">
        <f t="shared" si="0"/>
        <v xml:space="preserve"> img: "wigglytuff.gif"</v>
      </c>
      <c r="E40" t="str">
        <f>" type1: """&amp;MASTER!C41&amp;""""</f>
        <v xml:space="preserve"> type1: "Normal"</v>
      </c>
      <c r="F40" t="str">
        <f>" type2: """&amp;MASTER!D41&amp;""""</f>
        <v xml:space="preserve"> type2: "Fairy"</v>
      </c>
      <c r="G40" t="str">
        <f>" location: """&amp;_xlfn.TEXTJOIN(" ",1,TRIM(MASTER!M41))&amp;""""</f>
        <v xml:space="preserve"> location: "None"</v>
      </c>
      <c r="H40" t="e">
        <f>" evolve: """&amp;MASTER!#REF!&amp;""" }"</f>
        <v>#REF!</v>
      </c>
      <c r="I40" s="25" t="e">
        <f t="shared" si="1"/>
        <v>#REF!</v>
      </c>
    </row>
    <row r="41" spans="1:9" x14ac:dyDescent="0.2">
      <c r="A41" t="str">
        <f>"{ id: """&amp;MASTER!H42&amp;""""</f>
        <v>{ id: "041"</v>
      </c>
      <c r="B41" t="str">
        <f>" id2: """&amp;MASTER!G42&amp;""""</f>
        <v xml:space="preserve"> id2: "028"</v>
      </c>
      <c r="C41" t="str">
        <f>" name: """&amp;MASTER!B42&amp;""""</f>
        <v xml:space="preserve"> name: "Zubat"</v>
      </c>
      <c r="D41" t="str">
        <f t="shared" si="0"/>
        <v xml:space="preserve"> img: "zubat.gif"</v>
      </c>
      <c r="E41" t="str">
        <f>" type1: """&amp;MASTER!C42&amp;""""</f>
        <v xml:space="preserve"> type1: "Poison"</v>
      </c>
      <c r="F41" t="str">
        <f>" type2: """&amp;MASTER!D42&amp;""""</f>
        <v xml:space="preserve"> type2: "Flying"</v>
      </c>
      <c r="G41" t="str">
        <f>" location: """&amp;_xlfn.TEXTJOIN(" ",1,TRIM(MASTER!M42))&amp;""""</f>
        <v xml:space="preserve"> location: "Swampy Cave 👣"</v>
      </c>
      <c r="H41" t="e">
        <f>" evolve: """&amp;MASTER!#REF!&amp;""" }"</f>
        <v>#REF!</v>
      </c>
      <c r="I41" s="25" t="e">
        <f t="shared" si="1"/>
        <v>#REF!</v>
      </c>
    </row>
    <row r="42" spans="1:9" x14ac:dyDescent="0.2">
      <c r="A42" t="str">
        <f>"{ id: """&amp;MASTER!H43&amp;""""</f>
        <v>{ id: "042"</v>
      </c>
      <c r="B42" t="str">
        <f>" id2: """&amp;MASTER!G43&amp;""""</f>
        <v xml:space="preserve"> id2: "029"</v>
      </c>
      <c r="C42" t="str">
        <f>" name: """&amp;MASTER!B43&amp;""""</f>
        <v xml:space="preserve"> name: "Golbat"</v>
      </c>
      <c r="D42" t="str">
        <f t="shared" si="0"/>
        <v xml:space="preserve"> img: "golbat.gif"</v>
      </c>
      <c r="E42" t="str">
        <f>" type1: """&amp;MASTER!C43&amp;""""</f>
        <v xml:space="preserve"> type1: "Poison"</v>
      </c>
      <c r="F42" t="str">
        <f>" type2: """&amp;MASTER!D43&amp;""""</f>
        <v xml:space="preserve"> type2: "Flying"</v>
      </c>
      <c r="G42" t="str">
        <f>" location: """&amp;_xlfn.TEXTJOIN(" ",1,TRIM(MASTER!M43))&amp;""""</f>
        <v xml:space="preserve"> location: "Victory Road B1F 🌊"</v>
      </c>
      <c r="H42" t="e">
        <f>" evolve: """&amp;MASTER!#REF!&amp;""" }"</f>
        <v>#REF!</v>
      </c>
      <c r="I42" s="25" t="e">
        <f t="shared" si="1"/>
        <v>#REF!</v>
      </c>
    </row>
    <row r="43" spans="1:9" x14ac:dyDescent="0.2">
      <c r="A43" t="str">
        <f>"{ id: """&amp;MASTER!H44&amp;""""</f>
        <v>{ id: "043"</v>
      </c>
      <c r="B43" t="str">
        <f>" id2: """&amp;MASTER!G44&amp;""""</f>
        <v xml:space="preserve"> id2: ""</v>
      </c>
      <c r="C43" t="str">
        <f>" name: """&amp;MASTER!B44&amp;""""</f>
        <v xml:space="preserve"> name: "Oddish"</v>
      </c>
      <c r="D43" t="str">
        <f t="shared" si="0"/>
        <v xml:space="preserve"> img: "oddish.gif"</v>
      </c>
      <c r="E43" t="str">
        <f>" type1: """&amp;MASTER!C44&amp;""""</f>
        <v xml:space="preserve"> type1: "Grass"</v>
      </c>
      <c r="F43" t="str">
        <f>" type2: """&amp;MASTER!D44&amp;""""</f>
        <v xml:space="preserve"> type2: "Poison"</v>
      </c>
      <c r="G43" t="str">
        <f>" location: """&amp;_xlfn.TEXTJOIN(" ",1,TRIM(MASTER!M44))&amp;""""</f>
        <v xml:space="preserve"> location: "Spacious Cave 👣"</v>
      </c>
      <c r="H43" t="e">
        <f>" evolve: """&amp;MASTER!#REF!&amp;""" }"</f>
        <v>#REF!</v>
      </c>
      <c r="I43" s="25" t="e">
        <f t="shared" si="1"/>
        <v>#REF!</v>
      </c>
    </row>
    <row r="44" spans="1:9" x14ac:dyDescent="0.2">
      <c r="A44" t="str">
        <f>"{ id: """&amp;MASTER!H45&amp;""""</f>
        <v>{ id: "044"</v>
      </c>
      <c r="B44" t="str">
        <f>" id2: """&amp;MASTER!G45&amp;""""</f>
        <v xml:space="preserve"> id2: ""</v>
      </c>
      <c r="C44" t="str">
        <f>" name: """&amp;MASTER!B45&amp;""""</f>
        <v xml:space="preserve"> name: "Gloom"</v>
      </c>
      <c r="D44" t="str">
        <f t="shared" si="0"/>
        <v xml:space="preserve"> img: "gloom.gif"</v>
      </c>
      <c r="E44" t="str">
        <f>" type1: """&amp;MASTER!C45&amp;""""</f>
        <v xml:space="preserve"> type1: "Grass"</v>
      </c>
      <c r="F44" t="str">
        <f>" type2: """&amp;MASTER!D45&amp;""""</f>
        <v xml:space="preserve"> type2: "Poison"</v>
      </c>
      <c r="G44" t="str">
        <f>" location: """&amp;_xlfn.TEXTJOIN(" ",1,TRIM(MASTER!M45))&amp;""""</f>
        <v xml:space="preserve"> location: "Spacious Cave 👣"</v>
      </c>
      <c r="H44" t="e">
        <f>" evolve: """&amp;MASTER!#REF!&amp;""" }"</f>
        <v>#REF!</v>
      </c>
      <c r="I44" s="25" t="e">
        <f t="shared" si="1"/>
        <v>#REF!</v>
      </c>
    </row>
    <row r="45" spans="1:9" x14ac:dyDescent="0.2">
      <c r="A45" t="str">
        <f>"{ id: """&amp;MASTER!H46&amp;""""</f>
        <v>{ id: "045"</v>
      </c>
      <c r="B45" t="str">
        <f>" id2: """&amp;MASTER!G46&amp;""""</f>
        <v xml:space="preserve"> id2: ""</v>
      </c>
      <c r="C45" t="str">
        <f>" name: """&amp;MASTER!B46&amp;""""</f>
        <v xml:space="preserve"> name: "Vileplume"</v>
      </c>
      <c r="D45" t="str">
        <f t="shared" si="0"/>
        <v xml:space="preserve"> img: "vileplume.gif"</v>
      </c>
      <c r="E45" t="str">
        <f>" type1: """&amp;MASTER!C46&amp;""""</f>
        <v xml:space="preserve"> type1: "Grass"</v>
      </c>
      <c r="F45" t="str">
        <f>" type2: """&amp;MASTER!D46&amp;""""</f>
        <v xml:space="preserve"> type2: "Poison"</v>
      </c>
      <c r="G45" t="str">
        <f>" location: """&amp;_xlfn.TEXTJOIN(" ",1,TRIM(MASTER!M46))&amp;""""</f>
        <v xml:space="preserve"> location: "None"</v>
      </c>
      <c r="H45" t="e">
        <f>" evolve: """&amp;MASTER!#REF!&amp;""" }"</f>
        <v>#REF!</v>
      </c>
      <c r="I45" s="25" t="e">
        <f t="shared" si="1"/>
        <v>#REF!</v>
      </c>
    </row>
    <row r="46" spans="1:9" x14ac:dyDescent="0.2">
      <c r="A46" t="str">
        <f>"{ id: """&amp;MASTER!H47&amp;""""</f>
        <v>{ id: "046"</v>
      </c>
      <c r="B46" t="str">
        <f>" id2: """&amp;MASTER!G47&amp;""""</f>
        <v xml:space="preserve"> id2: ""</v>
      </c>
      <c r="C46" t="str">
        <f>" name: """&amp;MASTER!B47&amp;""""</f>
        <v xml:space="preserve"> name: "Paras"</v>
      </c>
      <c r="D46" t="str">
        <f t="shared" si="0"/>
        <v xml:space="preserve"> img: "paras.gif"</v>
      </c>
      <c r="E46" t="str">
        <f>" type1: """&amp;MASTER!C47&amp;""""</f>
        <v xml:space="preserve"> type1: "Bug"</v>
      </c>
      <c r="F46" t="str">
        <f>" type2: """&amp;MASTER!D47&amp;""""</f>
        <v xml:space="preserve"> type2: "Grass"</v>
      </c>
      <c r="G46" t="str">
        <f>" location: """&amp;_xlfn.TEXTJOIN(" ",1,TRIM(MASTER!M47))&amp;""""</f>
        <v xml:space="preserve"> location: "Grassland Cave 👣"</v>
      </c>
      <c r="H46" t="e">
        <f>" evolve: """&amp;MASTER!#REF!&amp;""" }"</f>
        <v>#REF!</v>
      </c>
      <c r="I46" s="25" t="e">
        <f t="shared" si="1"/>
        <v>#REF!</v>
      </c>
    </row>
    <row r="47" spans="1:9" x14ac:dyDescent="0.2">
      <c r="A47" t="str">
        <f>"{ id: """&amp;MASTER!H48&amp;""""</f>
        <v>{ id: "047"</v>
      </c>
      <c r="B47" t="str">
        <f>" id2: """&amp;MASTER!G48&amp;""""</f>
        <v xml:space="preserve"> id2: ""</v>
      </c>
      <c r="C47" t="str">
        <f>" name: """&amp;MASTER!B48&amp;""""</f>
        <v xml:space="preserve"> name: "Parasect"</v>
      </c>
      <c r="D47" t="str">
        <f t="shared" si="0"/>
        <v xml:space="preserve"> img: "parasect.gif"</v>
      </c>
      <c r="E47" t="str">
        <f>" type1: """&amp;MASTER!C48&amp;""""</f>
        <v xml:space="preserve"> type1: "Bug"</v>
      </c>
      <c r="F47" t="str">
        <f>" type2: """&amp;MASTER!D48&amp;""""</f>
        <v xml:space="preserve"> type2: "Grass"</v>
      </c>
      <c r="G47" t="str">
        <f>" location: """&amp;_xlfn.TEXTJOIN(" ",1,TRIM(MASTER!M48))&amp;""""</f>
        <v xml:space="preserve"> location: "None"</v>
      </c>
      <c r="H47" t="e">
        <f>" evolve: """&amp;MASTER!#REF!&amp;""" }"</f>
        <v>#REF!</v>
      </c>
      <c r="I47" s="25" t="e">
        <f t="shared" si="1"/>
        <v>#REF!</v>
      </c>
    </row>
    <row r="48" spans="1:9" x14ac:dyDescent="0.2">
      <c r="A48" t="str">
        <f>"{ id: """&amp;MASTER!H49&amp;""""</f>
        <v>{ id: "048"</v>
      </c>
      <c r="B48" t="str">
        <f>" id2: """&amp;MASTER!G49&amp;""""</f>
        <v xml:space="preserve"> id2: ""</v>
      </c>
      <c r="C48" t="str">
        <f>" name: """&amp;MASTER!B49&amp;""""</f>
        <v xml:space="preserve"> name: "Venonat"</v>
      </c>
      <c r="D48" t="str">
        <f t="shared" si="0"/>
        <v xml:space="preserve"> img: "venonat.gif"</v>
      </c>
      <c r="E48" t="str">
        <f>" type1: """&amp;MASTER!C49&amp;""""</f>
        <v xml:space="preserve"> type1: "Bug"</v>
      </c>
      <c r="F48" t="str">
        <f>" type2: """&amp;MASTER!D49&amp;""""</f>
        <v xml:space="preserve"> type2: "Poison"</v>
      </c>
      <c r="G48" t="str">
        <f>" location: """&amp;_xlfn.TEXTJOIN(" ",1,TRIM(MASTER!M49))&amp;""""</f>
        <v xml:space="preserve"> location: "Spacious Cave 👣"</v>
      </c>
      <c r="H48" t="e">
        <f>" evolve: """&amp;MASTER!#REF!&amp;""" }"</f>
        <v>#REF!</v>
      </c>
      <c r="I48" s="25" t="e">
        <f t="shared" si="1"/>
        <v>#REF!</v>
      </c>
    </row>
    <row r="49" spans="1:9" x14ac:dyDescent="0.2">
      <c r="A49" t="str">
        <f>"{ id: """&amp;MASTER!H50&amp;""""</f>
        <v>{ id: "049"</v>
      </c>
      <c r="B49" t="str">
        <f>" id2: """&amp;MASTER!G50&amp;""""</f>
        <v xml:space="preserve"> id2: ""</v>
      </c>
      <c r="C49" t="str">
        <f>" name: """&amp;MASTER!B50&amp;""""</f>
        <v xml:space="preserve"> name: "Venomoth"</v>
      </c>
      <c r="D49" t="str">
        <f t="shared" si="0"/>
        <v xml:space="preserve"> img: "venomoth.gif"</v>
      </c>
      <c r="E49" t="str">
        <f>" type1: """&amp;MASTER!C50&amp;""""</f>
        <v xml:space="preserve"> type1: "Bug"</v>
      </c>
      <c r="F49" t="str">
        <f>" type2: """&amp;MASTER!D50&amp;""""</f>
        <v xml:space="preserve"> type2: "Poison"</v>
      </c>
      <c r="G49" t="str">
        <f>" location: """&amp;_xlfn.TEXTJOIN(" ",1,TRIM(MASTER!M50))&amp;""""</f>
        <v xml:space="preserve"> location: "Spacious Cave 👣"</v>
      </c>
      <c r="H49" t="e">
        <f>" evolve: """&amp;MASTER!#REF!&amp;""" }"</f>
        <v>#REF!</v>
      </c>
      <c r="I49" s="25" t="e">
        <f t="shared" si="1"/>
        <v>#REF!</v>
      </c>
    </row>
    <row r="50" spans="1:9" x14ac:dyDescent="0.2">
      <c r="A50" t="str">
        <f>"{ id: """&amp;MASTER!H51&amp;""""</f>
        <v>{ id: "050"</v>
      </c>
      <c r="B50" t="str">
        <f>" id2: """&amp;MASTER!G51&amp;""""</f>
        <v xml:space="preserve"> id2: ""</v>
      </c>
      <c r="C50" t="str">
        <f>" name: """&amp;MASTER!B51&amp;""""</f>
        <v xml:space="preserve"> name: "Diglett"</v>
      </c>
      <c r="D50" t="str">
        <f t="shared" si="0"/>
        <v xml:space="preserve"> img: "diglett.gif"</v>
      </c>
      <c r="E50" t="str">
        <f>" type1: """&amp;MASTER!C51&amp;""""</f>
        <v xml:space="preserve"> type1: "Ground"</v>
      </c>
      <c r="F50" t="str">
        <f>" type2: """&amp;MASTER!D51&amp;""""</f>
        <v xml:space="preserve"> type2: ""</v>
      </c>
      <c r="G50" t="str">
        <f>" location: """&amp;_xlfn.TEXTJOIN(" ",1,TRIM(MASTER!M51))&amp;""""</f>
        <v xml:space="preserve"> location: "Route 228 👣 4%"</v>
      </c>
      <c r="H50" t="e">
        <f>" evolve: """&amp;MASTER!#REF!&amp;""" }"</f>
        <v>#REF!</v>
      </c>
      <c r="I50" s="25" t="e">
        <f t="shared" si="1"/>
        <v>#REF!</v>
      </c>
    </row>
    <row r="51" spans="1:9" x14ac:dyDescent="0.2">
      <c r="A51" t="str">
        <f>"{ id: """&amp;MASTER!H52&amp;""""</f>
        <v>{ id: "051"</v>
      </c>
      <c r="B51" t="str">
        <f>" id2: """&amp;MASTER!G52&amp;""""</f>
        <v xml:space="preserve"> id2: ""</v>
      </c>
      <c r="C51" t="str">
        <f>" name: """&amp;MASTER!B52&amp;""""</f>
        <v xml:space="preserve"> name: "Dugtrio"</v>
      </c>
      <c r="D51" t="str">
        <f t="shared" si="0"/>
        <v xml:space="preserve"> img: "dugtrio.gif"</v>
      </c>
      <c r="E51" t="str">
        <f>" type1: """&amp;MASTER!C52&amp;""""</f>
        <v xml:space="preserve"> type1: "Ground"</v>
      </c>
      <c r="F51" t="str">
        <f>" type2: """&amp;MASTER!D52&amp;""""</f>
        <v xml:space="preserve"> type2: ""</v>
      </c>
      <c r="G51" t="str">
        <f>" location: """&amp;_xlfn.TEXTJOIN(" ",1,TRIM(MASTER!M52))&amp;""""</f>
        <v xml:space="preserve"> location: "Route 228 👣 10%"</v>
      </c>
      <c r="H51" t="e">
        <f>" evolve: """&amp;MASTER!#REF!&amp;""" }"</f>
        <v>#REF!</v>
      </c>
      <c r="I51" s="25" t="e">
        <f t="shared" si="1"/>
        <v>#REF!</v>
      </c>
    </row>
    <row r="52" spans="1:9" x14ac:dyDescent="0.2">
      <c r="A52" t="str">
        <f>"{ id: """&amp;MASTER!H53&amp;""""</f>
        <v>{ id: "052"</v>
      </c>
      <c r="B52" t="str">
        <f>" id2: """&amp;MASTER!G53&amp;""""</f>
        <v xml:space="preserve"> id2: ""</v>
      </c>
      <c r="C52" t="str">
        <f>" name: """&amp;MASTER!B53&amp;""""</f>
        <v xml:space="preserve"> name: "Meowth"</v>
      </c>
      <c r="D52" t="str">
        <f t="shared" si="0"/>
        <v xml:space="preserve"> img: "meowth.gif"</v>
      </c>
      <c r="E52" t="str">
        <f>" type1: """&amp;MASTER!C53&amp;""""</f>
        <v xml:space="preserve"> type1: "Normal"</v>
      </c>
      <c r="F52" t="str">
        <f>" type2: """&amp;MASTER!D53&amp;""""</f>
        <v xml:space="preserve"> type2: ""</v>
      </c>
      <c r="G52" t="str">
        <f>" location: """&amp;_xlfn.TEXTJOIN(" ",1,TRIM(MASTER!M53))&amp;""""</f>
        <v xml:space="preserve"> location: "Trophy Garden (Special) 👣"</v>
      </c>
      <c r="H52" t="e">
        <f>" evolve: """&amp;MASTER!#REF!&amp;""" }"</f>
        <v>#REF!</v>
      </c>
      <c r="I52" s="25" t="e">
        <f t="shared" si="1"/>
        <v>#REF!</v>
      </c>
    </row>
    <row r="53" spans="1:9" x14ac:dyDescent="0.2">
      <c r="A53" t="str">
        <f>"{ id: """&amp;MASTER!H54&amp;""""</f>
        <v>{ id: "053"</v>
      </c>
      <c r="B53" t="str">
        <f>" id2: """&amp;MASTER!G54&amp;""""</f>
        <v xml:space="preserve"> id2: ""</v>
      </c>
      <c r="C53" t="str">
        <f>" name: """&amp;MASTER!B54&amp;""""</f>
        <v xml:space="preserve"> name: "Persian"</v>
      </c>
      <c r="D53" t="str">
        <f t="shared" si="0"/>
        <v xml:space="preserve"> img: "persian.gif"</v>
      </c>
      <c r="E53" t="str">
        <f>" type1: """&amp;MASTER!C54&amp;""""</f>
        <v xml:space="preserve"> type1: "Normal"</v>
      </c>
      <c r="F53" t="str">
        <f>" type2: """&amp;MASTER!D54&amp;""""</f>
        <v xml:space="preserve"> type2: ""</v>
      </c>
      <c r="G53" t="str">
        <f>" location: """&amp;_xlfn.TEXTJOIN(" ",1,TRIM(MASTER!M54))&amp;""""</f>
        <v xml:space="preserve"> location: "None"</v>
      </c>
      <c r="H53" t="e">
        <f>" evolve: """&amp;MASTER!#REF!&amp;""" }"</f>
        <v>#REF!</v>
      </c>
      <c r="I53" s="25" t="e">
        <f t="shared" si="1"/>
        <v>#REF!</v>
      </c>
    </row>
    <row r="54" spans="1:9" x14ac:dyDescent="0.2">
      <c r="A54" t="str">
        <f>"{ id: """&amp;MASTER!H55&amp;""""</f>
        <v>{ id: "054"</v>
      </c>
      <c r="B54" t="str">
        <f>" id2: """&amp;MASTER!G55&amp;""""</f>
        <v xml:space="preserve"> id2: "043"</v>
      </c>
      <c r="C54" t="str">
        <f>" name: """&amp;MASTER!B55&amp;""""</f>
        <v xml:space="preserve"> name: "Psyduck"</v>
      </c>
      <c r="D54" t="str">
        <f t="shared" si="0"/>
        <v xml:space="preserve"> img: "psyduck.gif"</v>
      </c>
      <c r="E54" t="str">
        <f>" type1: """&amp;MASTER!C55&amp;""""</f>
        <v xml:space="preserve"> type1: "Water"</v>
      </c>
      <c r="F54" t="str">
        <f>" type2: """&amp;MASTER!D55&amp;""""</f>
        <v xml:space="preserve"> type2: ""</v>
      </c>
      <c r="G54" t="str">
        <f>" location: """&amp;_xlfn.TEXTJOIN(" ",1,TRIM(MASTER!M55))&amp;""""</f>
        <v xml:space="preserve"> location: "Spacious Cave 👣"</v>
      </c>
      <c r="H54" t="e">
        <f>" evolve: """&amp;MASTER!#REF!&amp;""" }"</f>
        <v>#REF!</v>
      </c>
      <c r="I54" s="25" t="e">
        <f t="shared" si="1"/>
        <v>#REF!</v>
      </c>
    </row>
    <row r="55" spans="1:9" x14ac:dyDescent="0.2">
      <c r="A55" t="str">
        <f>"{ id: """&amp;MASTER!H56&amp;""""</f>
        <v>{ id: "055"</v>
      </c>
      <c r="B55" t="str">
        <f>" id2: """&amp;MASTER!G56&amp;""""</f>
        <v xml:space="preserve"> id2: "044"</v>
      </c>
      <c r="C55" t="str">
        <f>" name: """&amp;MASTER!B56&amp;""""</f>
        <v xml:space="preserve"> name: "Golduck"</v>
      </c>
      <c r="D55" t="str">
        <f t="shared" si="0"/>
        <v xml:space="preserve"> img: "golduck.gif"</v>
      </c>
      <c r="E55" t="str">
        <f>" type1: """&amp;MASTER!C56&amp;""""</f>
        <v xml:space="preserve"> type1: "Water"</v>
      </c>
      <c r="F55" t="str">
        <f>" type2: """&amp;MASTER!D56&amp;""""</f>
        <v xml:space="preserve"> type2: ""</v>
      </c>
      <c r="G55" t="str">
        <f>" location: """&amp;_xlfn.TEXTJOIN(" ",1,TRIM(MASTER!M56))&amp;""""</f>
        <v xml:space="preserve"> location: "Resort Area 🌊"</v>
      </c>
      <c r="H55" t="e">
        <f>" evolve: """&amp;MASTER!#REF!&amp;""" }"</f>
        <v>#REF!</v>
      </c>
      <c r="I55" s="25" t="e">
        <f t="shared" si="1"/>
        <v>#REF!</v>
      </c>
    </row>
    <row r="56" spans="1:9" x14ac:dyDescent="0.2">
      <c r="A56" t="str">
        <f>"{ id: """&amp;MASTER!H57&amp;""""</f>
        <v>{ id: "056"</v>
      </c>
      <c r="B56" t="str">
        <f>" id2: """&amp;MASTER!G57&amp;""""</f>
        <v xml:space="preserve"> id2: ""</v>
      </c>
      <c r="C56" t="str">
        <f>" name: """&amp;MASTER!B57&amp;""""</f>
        <v xml:space="preserve"> name: "Mankey"</v>
      </c>
      <c r="D56" t="str">
        <f t="shared" si="0"/>
        <v xml:space="preserve"> img: "mankey.gif"</v>
      </c>
      <c r="E56" t="str">
        <f>" type1: """&amp;MASTER!C57&amp;""""</f>
        <v xml:space="preserve"> type1: "Fighting"</v>
      </c>
      <c r="F56" t="str">
        <f>" type2: """&amp;MASTER!D57&amp;""""</f>
        <v xml:space="preserve"> type2: ""</v>
      </c>
      <c r="G56" t="str">
        <f>" location: """&amp;_xlfn.TEXTJOIN(" ",1,TRIM(MASTER!M57))&amp;""""</f>
        <v xml:space="preserve"> location: "Spacious Cave 👣"</v>
      </c>
      <c r="H56" t="e">
        <f>" evolve: """&amp;MASTER!#REF!&amp;""" }"</f>
        <v>#REF!</v>
      </c>
      <c r="I56" s="25" t="e">
        <f t="shared" si="1"/>
        <v>#REF!</v>
      </c>
    </row>
    <row r="57" spans="1:9" x14ac:dyDescent="0.2">
      <c r="A57" t="str">
        <f>"{ id: """&amp;MASTER!H58&amp;""""</f>
        <v>{ id: "057"</v>
      </c>
      <c r="B57" t="str">
        <f>" id2: """&amp;MASTER!G58&amp;""""</f>
        <v xml:space="preserve"> id2: ""</v>
      </c>
      <c r="C57" t="str">
        <f>" name: """&amp;MASTER!B58&amp;""""</f>
        <v xml:space="preserve"> name: "Primeape"</v>
      </c>
      <c r="D57" t="str">
        <f t="shared" si="0"/>
        <v xml:space="preserve"> img: "primeape.gif"</v>
      </c>
      <c r="E57" t="str">
        <f>" type1: """&amp;MASTER!C58&amp;""""</f>
        <v xml:space="preserve"> type1: "Fighting"</v>
      </c>
      <c r="F57" t="str">
        <f>" type2: """&amp;MASTER!D58&amp;""""</f>
        <v xml:space="preserve"> type2: ""</v>
      </c>
      <c r="G57" t="str">
        <f>" location: """&amp;_xlfn.TEXTJOIN(" ",1,TRIM(MASTER!M58))&amp;""""</f>
        <v xml:space="preserve"> location: "Spacious Cave 👣"</v>
      </c>
      <c r="H57" t="e">
        <f>" evolve: """&amp;MASTER!#REF!&amp;""" }"</f>
        <v>#REF!</v>
      </c>
      <c r="I57" s="25" t="e">
        <f t="shared" si="1"/>
        <v>#REF!</v>
      </c>
    </row>
    <row r="58" spans="1:9" x14ac:dyDescent="0.2">
      <c r="A58" t="str">
        <f>"{ id: """&amp;MASTER!H59&amp;""""</f>
        <v>{ id: "058"</v>
      </c>
      <c r="B58" t="str">
        <f>" id2: """&amp;MASTER!G59&amp;""""</f>
        <v xml:space="preserve"> id2: ""</v>
      </c>
      <c r="C58" t="str">
        <f>" name: """&amp;MASTER!B59&amp;""""</f>
        <v xml:space="preserve"> name: "Growlithe"</v>
      </c>
      <c r="D58" t="str">
        <f t="shared" si="0"/>
        <v xml:space="preserve"> img: "growlithe.gif"</v>
      </c>
      <c r="E58" t="str">
        <f>" type1: """&amp;MASTER!C59&amp;""""</f>
        <v xml:space="preserve"> type1: "Fire"</v>
      </c>
      <c r="F58" t="str">
        <f>" type2: """&amp;MASTER!D59&amp;""""</f>
        <v xml:space="preserve"> type2: ""</v>
      </c>
      <c r="G58" t="str">
        <f>" location: """&amp;_xlfn.TEXTJOIN(" ",1,TRIM(MASTER!M59))&amp;""""</f>
        <v xml:space="preserve"> location: "Spacious Cave 👣 💎only"</v>
      </c>
      <c r="H58" t="e">
        <f>" evolve: """&amp;MASTER!#REF!&amp;""" }"</f>
        <v>#REF!</v>
      </c>
      <c r="I58" s="25" t="e">
        <f t="shared" si="1"/>
        <v>#REF!</v>
      </c>
    </row>
    <row r="59" spans="1:9" x14ac:dyDescent="0.2">
      <c r="A59" t="str">
        <f>"{ id: """&amp;MASTER!H60&amp;""""</f>
        <v>{ id: "059"</v>
      </c>
      <c r="B59" t="str">
        <f>" id2: """&amp;MASTER!G60&amp;""""</f>
        <v xml:space="preserve"> id2: ""</v>
      </c>
      <c r="C59" t="str">
        <f>" name: """&amp;MASTER!B60&amp;""""</f>
        <v xml:space="preserve"> name: "Arcanine"</v>
      </c>
      <c r="D59" t="str">
        <f t="shared" si="0"/>
        <v xml:space="preserve"> img: "arcanine.gif"</v>
      </c>
      <c r="E59" t="str">
        <f>" type1: """&amp;MASTER!C60&amp;""""</f>
        <v xml:space="preserve"> type1: "Fire"</v>
      </c>
      <c r="F59" t="str">
        <f>" type2: """&amp;MASTER!D60&amp;""""</f>
        <v xml:space="preserve"> type2: ""</v>
      </c>
      <c r="G59" t="str">
        <f>" location: """&amp;_xlfn.TEXTJOIN(" ",1,TRIM(MASTER!M60))&amp;""""</f>
        <v xml:space="preserve"> location: "None"</v>
      </c>
      <c r="H59" t="e">
        <f>" evolve: """&amp;MASTER!#REF!&amp;""" }"</f>
        <v>#REF!</v>
      </c>
      <c r="I59" s="25" t="e">
        <f t="shared" si="1"/>
        <v>#REF!</v>
      </c>
    </row>
    <row r="60" spans="1:9" x14ac:dyDescent="0.2">
      <c r="A60" t="str">
        <f>"{ id: """&amp;MASTER!H61&amp;""""</f>
        <v>{ id: "060"</v>
      </c>
      <c r="B60" t="str">
        <f>" id2: """&amp;MASTER!G61&amp;""""</f>
        <v xml:space="preserve"> id2: ""</v>
      </c>
      <c r="C60" t="str">
        <f>" name: """&amp;MASTER!B61&amp;""""</f>
        <v xml:space="preserve"> name: "Poliwag"</v>
      </c>
      <c r="D60" t="str">
        <f t="shared" si="0"/>
        <v xml:space="preserve"> img: "poliwag.gif"</v>
      </c>
      <c r="E60" t="str">
        <f>" type1: """&amp;MASTER!C61&amp;""""</f>
        <v xml:space="preserve"> type1: "Water"</v>
      </c>
      <c r="F60" t="str">
        <f>" type2: """&amp;MASTER!D61&amp;""""</f>
        <v xml:space="preserve"> type2: ""</v>
      </c>
      <c r="G60" t="str">
        <f>" location: """&amp;_xlfn.TEXTJOIN(" ",1,TRIM(MASTER!M61))&amp;""""</f>
        <v xml:space="preserve"> location: "Grassland Cave 👣"</v>
      </c>
      <c r="H60" t="e">
        <f>" evolve: """&amp;MASTER!#REF!&amp;""" }"</f>
        <v>#REF!</v>
      </c>
      <c r="I60" s="25" t="e">
        <f t="shared" si="1"/>
        <v>#REF!</v>
      </c>
    </row>
    <row r="61" spans="1:9" x14ac:dyDescent="0.2">
      <c r="A61" t="str">
        <f>"{ id: """&amp;MASTER!H62&amp;""""</f>
        <v>{ id: "061"</v>
      </c>
      <c r="B61" t="str">
        <f>" id2: """&amp;MASTER!G62&amp;""""</f>
        <v xml:space="preserve"> id2: ""</v>
      </c>
      <c r="C61" t="str">
        <f>" name: """&amp;MASTER!B62&amp;""""</f>
        <v xml:space="preserve"> name: "Poliwhirl"</v>
      </c>
      <c r="D61" t="str">
        <f t="shared" si="0"/>
        <v xml:space="preserve"> img: "poliwhirl.gif"</v>
      </c>
      <c r="E61" t="str">
        <f>" type1: """&amp;MASTER!C62&amp;""""</f>
        <v xml:space="preserve"> type1: "Water"</v>
      </c>
      <c r="F61" t="str">
        <f>" type2: """&amp;MASTER!D62&amp;""""</f>
        <v xml:space="preserve"> type2: ""</v>
      </c>
      <c r="G61" t="str">
        <f>" location: """&amp;_xlfn.TEXTJOIN(" ",1,TRIM(MASTER!M62))&amp;""""</f>
        <v xml:space="preserve"> location: "Grassland Cave 👣"</v>
      </c>
      <c r="H61" t="e">
        <f>" evolve: """&amp;MASTER!#REF!&amp;""" }"</f>
        <v>#REF!</v>
      </c>
      <c r="I61" s="25" t="e">
        <f t="shared" si="1"/>
        <v>#REF!</v>
      </c>
    </row>
    <row r="62" spans="1:9" x14ac:dyDescent="0.2">
      <c r="A62" t="str">
        <f>"{ id: """&amp;MASTER!H63&amp;""""</f>
        <v>{ id: "062"</v>
      </c>
      <c r="B62" t="str">
        <f>" id2: """&amp;MASTER!G63&amp;""""</f>
        <v xml:space="preserve"> id2: ""</v>
      </c>
      <c r="C62" t="str">
        <f>" name: """&amp;MASTER!B63&amp;""""</f>
        <v xml:space="preserve"> name: "Poliwrath"</v>
      </c>
      <c r="D62" t="str">
        <f t="shared" si="0"/>
        <v xml:space="preserve"> img: "poliwrath.gif"</v>
      </c>
      <c r="E62" t="str">
        <f>" type1: """&amp;MASTER!C63&amp;""""</f>
        <v xml:space="preserve"> type1: "Water"</v>
      </c>
      <c r="F62" t="str">
        <f>" type2: """&amp;MASTER!D63&amp;""""</f>
        <v xml:space="preserve"> type2: "Fighting"</v>
      </c>
      <c r="G62" t="str">
        <f>" location: """&amp;_xlfn.TEXTJOIN(" ",1,TRIM(MASTER!M63))&amp;""""</f>
        <v xml:space="preserve"> location: "None"</v>
      </c>
      <c r="H62" t="e">
        <f>" evolve: """&amp;MASTER!#REF!&amp;""" }"</f>
        <v>#REF!</v>
      </c>
      <c r="I62" s="25" t="e">
        <f t="shared" si="1"/>
        <v>#REF!</v>
      </c>
    </row>
    <row r="63" spans="1:9" x14ac:dyDescent="0.2">
      <c r="A63" t="str">
        <f>"{ id: """&amp;MASTER!H64&amp;""""</f>
        <v>{ id: "063"</v>
      </c>
      <c r="B63" t="str">
        <f>" id2: """&amp;MASTER!G64&amp;""""</f>
        <v xml:space="preserve"> id2: "020"</v>
      </c>
      <c r="C63" t="str">
        <f>" name: """&amp;MASTER!B64&amp;""""</f>
        <v xml:space="preserve"> name: "Abra"</v>
      </c>
      <c r="D63" t="str">
        <f t="shared" si="0"/>
        <v xml:space="preserve"> img: "abra.gif"</v>
      </c>
      <c r="E63" t="str">
        <f>" type1: """&amp;MASTER!C64&amp;""""</f>
        <v xml:space="preserve"> type1: "Psychic"</v>
      </c>
      <c r="F63" t="str">
        <f>" type2: """&amp;MASTER!D64&amp;""""</f>
        <v xml:space="preserve"> type2: ""</v>
      </c>
      <c r="G63" t="str">
        <f>" location: """&amp;_xlfn.TEXTJOIN(" ",1,TRIM(MASTER!M64))&amp;""""</f>
        <v xml:space="preserve"> location: "Route 203 👣 10%"</v>
      </c>
      <c r="H63" t="e">
        <f>" evolve: """&amp;MASTER!#REF!&amp;""" }"</f>
        <v>#REF!</v>
      </c>
      <c r="I63" s="25" t="e">
        <f t="shared" si="1"/>
        <v>#REF!</v>
      </c>
    </row>
    <row r="64" spans="1:9" x14ac:dyDescent="0.2">
      <c r="A64" t="str">
        <f>"{ id: """&amp;MASTER!H65&amp;""""</f>
        <v>{ id: "064"</v>
      </c>
      <c r="B64" t="str">
        <f>" id2: """&amp;MASTER!G65&amp;""""</f>
        <v xml:space="preserve"> id2: "021"</v>
      </c>
      <c r="C64" t="str">
        <f>" name: """&amp;MASTER!B65&amp;""""</f>
        <v xml:space="preserve"> name: "Kadabra"</v>
      </c>
      <c r="D64" t="str">
        <f t="shared" si="0"/>
        <v xml:space="preserve"> img: "kadabra.gif"</v>
      </c>
      <c r="E64" t="str">
        <f>" type1: """&amp;MASTER!C65&amp;""""</f>
        <v xml:space="preserve"> type1: "Psychic"</v>
      </c>
      <c r="F64" t="str">
        <f>" type2: """&amp;MASTER!D65&amp;""""</f>
        <v xml:space="preserve"> type2: ""</v>
      </c>
      <c r="G64" t="str">
        <f>" location: """&amp;_xlfn.TEXTJOIN(" ",1,TRIM(MASTER!M65))&amp;""""</f>
        <v xml:space="preserve"> location: "Victory Road 2F 👣"</v>
      </c>
      <c r="H64" t="e">
        <f>" evolve: """&amp;MASTER!#REF!&amp;""" }"</f>
        <v>#REF!</v>
      </c>
      <c r="I64" s="25" t="e">
        <f t="shared" si="1"/>
        <v>#REF!</v>
      </c>
    </row>
    <row r="65" spans="1:9" x14ac:dyDescent="0.2">
      <c r="A65" t="str">
        <f>"{ id: """&amp;MASTER!H66&amp;""""</f>
        <v>{ id: "065"</v>
      </c>
      <c r="B65" t="str">
        <f>" id2: """&amp;MASTER!G66&amp;""""</f>
        <v xml:space="preserve"> id2: "022"</v>
      </c>
      <c r="C65" t="str">
        <f>" name: """&amp;MASTER!B66&amp;""""</f>
        <v xml:space="preserve"> name: "Alakazam"</v>
      </c>
      <c r="D65" t="str">
        <f t="shared" si="0"/>
        <v xml:space="preserve"> img: "alakazam.gif"</v>
      </c>
      <c r="E65" t="str">
        <f>" type1: """&amp;MASTER!C66&amp;""""</f>
        <v xml:space="preserve"> type1: "Psychic"</v>
      </c>
      <c r="F65" t="str">
        <f>" type2: """&amp;MASTER!D66&amp;""""</f>
        <v xml:space="preserve"> type2: ""</v>
      </c>
      <c r="G65" t="str">
        <f>" location: """&amp;_xlfn.TEXTJOIN(" ",1,TRIM(MASTER!M66))&amp;""""</f>
        <v xml:space="preserve"> location: "None"</v>
      </c>
      <c r="H65" t="e">
        <f>" evolve: """&amp;MASTER!#REF!&amp;""" }"</f>
        <v>#REF!</v>
      </c>
      <c r="I65" s="25" t="e">
        <f t="shared" si="1"/>
        <v>#REF!</v>
      </c>
    </row>
    <row r="66" spans="1:9" x14ac:dyDescent="0.2">
      <c r="A66" t="str">
        <f>"{ id: """&amp;MASTER!H67&amp;""""</f>
        <v>{ id: "066"</v>
      </c>
      <c r="B66" t="str">
        <f>" id2: """&amp;MASTER!G67&amp;""""</f>
        <v xml:space="preserve"> id2: "040"</v>
      </c>
      <c r="C66" t="str">
        <f>" name: """&amp;MASTER!B67&amp;""""</f>
        <v xml:space="preserve"> name: "Machop"</v>
      </c>
      <c r="D66" t="str">
        <f t="shared" ref="D66:D129" si="2">" img: """&amp;LOWER(MID(C66,9,LEN(C66)-9))&amp;".gif"""</f>
        <v xml:space="preserve"> img: "machop.gif"</v>
      </c>
      <c r="E66" t="str">
        <f>" type1: """&amp;MASTER!C67&amp;""""</f>
        <v xml:space="preserve"> type1: "Fighting"</v>
      </c>
      <c r="F66" t="str">
        <f>" type2: """&amp;MASTER!D67&amp;""""</f>
        <v xml:space="preserve"> type2: ""</v>
      </c>
      <c r="G66" t="str">
        <f>" location: """&amp;_xlfn.TEXTJOIN(" ",1,TRIM(MASTER!M67))&amp;""""</f>
        <v xml:space="preserve"> location: "Spacious Cave 👣"</v>
      </c>
      <c r="H66" t="e">
        <f>" evolve: """&amp;MASTER!#REF!&amp;""" }"</f>
        <v>#REF!</v>
      </c>
      <c r="I66" s="25" t="e">
        <f t="shared" ref="I66:I129" si="3">_xlfn.TEXTJOIN(",",1,A66:H66)&amp;","</f>
        <v>#REF!</v>
      </c>
    </row>
    <row r="67" spans="1:9" x14ac:dyDescent="0.2">
      <c r="A67" t="str">
        <f>"{ id: """&amp;MASTER!H68&amp;""""</f>
        <v>{ id: "067"</v>
      </c>
      <c r="B67" t="str">
        <f>" id2: """&amp;MASTER!G68&amp;""""</f>
        <v xml:space="preserve"> id2: "041"</v>
      </c>
      <c r="C67" t="str">
        <f>" name: """&amp;MASTER!B68&amp;""""</f>
        <v xml:space="preserve"> name: "Machoke"</v>
      </c>
      <c r="D67" t="str">
        <f t="shared" si="2"/>
        <v xml:space="preserve"> img: "machoke.gif"</v>
      </c>
      <c r="E67" t="str">
        <f>" type1: """&amp;MASTER!C68&amp;""""</f>
        <v xml:space="preserve"> type1: "Fighting"</v>
      </c>
      <c r="F67" t="str">
        <f>" type2: """&amp;MASTER!D68&amp;""""</f>
        <v xml:space="preserve"> type2: ""</v>
      </c>
      <c r="G67" t="str">
        <f>" location: """&amp;_xlfn.TEXTJOIN(" ",1,TRIM(MASTER!M68))&amp;""""</f>
        <v xml:space="preserve"> location: "Victory Road 1F 👣"</v>
      </c>
      <c r="H67" t="e">
        <f>" evolve: """&amp;MASTER!#REF!&amp;""" }"</f>
        <v>#REF!</v>
      </c>
      <c r="I67" s="25" t="e">
        <f t="shared" si="3"/>
        <v>#REF!</v>
      </c>
    </row>
    <row r="68" spans="1:9" x14ac:dyDescent="0.2">
      <c r="A68" t="str">
        <f>"{ id: """&amp;MASTER!H69&amp;""""</f>
        <v>{ id: "068"</v>
      </c>
      <c r="B68" t="str">
        <f>" id2: """&amp;MASTER!G69&amp;""""</f>
        <v xml:space="preserve"> id2: "042"</v>
      </c>
      <c r="C68" t="str">
        <f>" name: """&amp;MASTER!B69&amp;""""</f>
        <v xml:space="preserve"> name: "Machamp"</v>
      </c>
      <c r="D68" t="str">
        <f t="shared" si="2"/>
        <v xml:space="preserve"> img: "machamp.gif"</v>
      </c>
      <c r="E68" t="str">
        <f>" type1: """&amp;MASTER!C69&amp;""""</f>
        <v xml:space="preserve"> type1: "Fighting"</v>
      </c>
      <c r="F68" t="str">
        <f>" type2: """&amp;MASTER!D69&amp;""""</f>
        <v xml:space="preserve"> type2: ""</v>
      </c>
      <c r="G68" t="str">
        <f>" location: """&amp;_xlfn.TEXTJOIN(" ",1,TRIM(MASTER!M69))&amp;""""</f>
        <v xml:space="preserve"> location: "None"</v>
      </c>
      <c r="H68" t="e">
        <f>" evolve: """&amp;MASTER!#REF!&amp;""" }"</f>
        <v>#REF!</v>
      </c>
      <c r="I68" s="25" t="e">
        <f t="shared" si="3"/>
        <v>#REF!</v>
      </c>
    </row>
    <row r="69" spans="1:9" x14ac:dyDescent="0.2">
      <c r="A69" t="str">
        <f>"{ id: """&amp;MASTER!H70&amp;""""</f>
        <v>{ id: "069"</v>
      </c>
      <c r="B69" t="str">
        <f>" id2: """&amp;MASTER!G70&amp;""""</f>
        <v xml:space="preserve"> id2: ""</v>
      </c>
      <c r="C69" t="str">
        <f>" name: """&amp;MASTER!B70&amp;""""</f>
        <v xml:space="preserve"> name: "Bellsprout"</v>
      </c>
      <c r="D69" t="str">
        <f t="shared" si="2"/>
        <v xml:space="preserve"> img: "bellsprout.gif"</v>
      </c>
      <c r="E69" t="str">
        <f>" type1: """&amp;MASTER!C70&amp;""""</f>
        <v xml:space="preserve"> type1: "Grass"</v>
      </c>
      <c r="F69" t="str">
        <f>" type2: """&amp;MASTER!D70&amp;""""</f>
        <v xml:space="preserve"> type2: "Poison"</v>
      </c>
      <c r="G69" t="str">
        <f>" location: """&amp;_xlfn.TEXTJOIN(" ",1,TRIM(MASTER!M70))&amp;""""</f>
        <v xml:space="preserve"> location: "Grassland Cave 👣"</v>
      </c>
      <c r="H69" t="e">
        <f>" evolve: """&amp;MASTER!#REF!&amp;""" }"</f>
        <v>#REF!</v>
      </c>
      <c r="I69" s="25" t="e">
        <f t="shared" si="3"/>
        <v>#REF!</v>
      </c>
    </row>
    <row r="70" spans="1:9" x14ac:dyDescent="0.2">
      <c r="A70" t="str">
        <f>"{ id: """&amp;MASTER!H71&amp;""""</f>
        <v>{ id: "070"</v>
      </c>
      <c r="B70" t="str">
        <f>" id2: """&amp;MASTER!G71&amp;""""</f>
        <v xml:space="preserve"> id2: ""</v>
      </c>
      <c r="C70" t="str">
        <f>" name: """&amp;MASTER!B71&amp;""""</f>
        <v xml:space="preserve"> name: "Weepinbell"</v>
      </c>
      <c r="D70" t="str">
        <f t="shared" si="2"/>
        <v xml:space="preserve"> img: "weepinbell.gif"</v>
      </c>
      <c r="E70" t="str">
        <f>" type1: """&amp;MASTER!C71&amp;""""</f>
        <v xml:space="preserve"> type1: "Grass"</v>
      </c>
      <c r="F70" t="str">
        <f>" type2: """&amp;MASTER!D71&amp;""""</f>
        <v xml:space="preserve"> type2: "Poison"</v>
      </c>
      <c r="G70" t="str">
        <f>" location: """&amp;_xlfn.TEXTJOIN(" ",1,TRIM(MASTER!M71))&amp;""""</f>
        <v xml:space="preserve"> location: "Grassland Cave 👣"</v>
      </c>
      <c r="H70" t="e">
        <f>" evolve: """&amp;MASTER!#REF!&amp;""" }"</f>
        <v>#REF!</v>
      </c>
      <c r="I70" s="25" t="e">
        <f t="shared" si="3"/>
        <v>#REF!</v>
      </c>
    </row>
    <row r="71" spans="1:9" x14ac:dyDescent="0.2">
      <c r="A71" t="str">
        <f>"{ id: """&amp;MASTER!H72&amp;""""</f>
        <v>{ id: "071"</v>
      </c>
      <c r="B71" t="str">
        <f>" id2: """&amp;MASTER!G72&amp;""""</f>
        <v xml:space="preserve"> id2: ""</v>
      </c>
      <c r="C71" t="str">
        <f>" name: """&amp;MASTER!B72&amp;""""</f>
        <v xml:space="preserve"> name: "Victreebel"</v>
      </c>
      <c r="D71" t="str">
        <f t="shared" si="2"/>
        <v xml:space="preserve"> img: "victreebel.gif"</v>
      </c>
      <c r="E71" t="str">
        <f>" type1: """&amp;MASTER!C72&amp;""""</f>
        <v xml:space="preserve"> type1: "Grass"</v>
      </c>
      <c r="F71" t="str">
        <f>" type2: """&amp;MASTER!D72&amp;""""</f>
        <v xml:space="preserve"> type2: "Poison"</v>
      </c>
      <c r="G71" t="str">
        <f>" location: """&amp;_xlfn.TEXTJOIN(" ",1,TRIM(MASTER!M72))&amp;""""</f>
        <v xml:space="preserve"> location: "None"</v>
      </c>
      <c r="H71" t="e">
        <f>" evolve: """&amp;MASTER!#REF!&amp;""" }"</f>
        <v>#REF!</v>
      </c>
      <c r="I71" s="25" t="e">
        <f t="shared" si="3"/>
        <v>#REF!</v>
      </c>
    </row>
    <row r="72" spans="1:9" x14ac:dyDescent="0.2">
      <c r="A72" t="str">
        <f>"{ id: """&amp;MASTER!H73&amp;""""</f>
        <v>{ id: "072"</v>
      </c>
      <c r="B72" t="str">
        <f>" id2: """&amp;MASTER!G73&amp;""""</f>
        <v xml:space="preserve"> id2: "136"</v>
      </c>
      <c r="C72" t="str">
        <f>" name: """&amp;MASTER!B73&amp;""""</f>
        <v xml:space="preserve"> name: "Tentacool"</v>
      </c>
      <c r="D72" t="str">
        <f t="shared" si="2"/>
        <v xml:space="preserve"> img: "tentacool.gif"</v>
      </c>
      <c r="E72" t="str">
        <f>" type1: """&amp;MASTER!C73&amp;""""</f>
        <v xml:space="preserve"> type1: "Water"</v>
      </c>
      <c r="F72" t="str">
        <f>" type2: """&amp;MASTER!D73&amp;""""</f>
        <v xml:space="preserve"> type2: "Poison"</v>
      </c>
      <c r="G72" t="str">
        <f>" location: """&amp;_xlfn.TEXTJOIN(" ",1,TRIM(MASTER!M73))&amp;""""</f>
        <v xml:space="preserve"> location: "Pastoria City 🌊"</v>
      </c>
      <c r="H72" t="e">
        <f>" evolve: """&amp;MASTER!#REF!&amp;""" }"</f>
        <v>#REF!</v>
      </c>
      <c r="I72" s="25" t="e">
        <f t="shared" si="3"/>
        <v>#REF!</v>
      </c>
    </row>
    <row r="73" spans="1:9" x14ac:dyDescent="0.2">
      <c r="A73" t="str">
        <f>"{ id: """&amp;MASTER!H74&amp;""""</f>
        <v>{ id: "073"</v>
      </c>
      <c r="B73" t="str">
        <f>" id2: """&amp;MASTER!G74&amp;""""</f>
        <v xml:space="preserve"> id2: "137"</v>
      </c>
      <c r="C73" t="str">
        <f>" name: """&amp;MASTER!B74&amp;""""</f>
        <v xml:space="preserve"> name: "Tentacruel"</v>
      </c>
      <c r="D73" t="str">
        <f t="shared" si="2"/>
        <v xml:space="preserve"> img: "tentacruel.gif"</v>
      </c>
      <c r="E73" t="str">
        <f>" type1: """&amp;MASTER!C74&amp;""""</f>
        <v xml:space="preserve"> type1: "Water"</v>
      </c>
      <c r="F73" t="str">
        <f>" type2: """&amp;MASTER!D74&amp;""""</f>
        <v xml:space="preserve"> type2: "Poison"</v>
      </c>
      <c r="G73" t="str">
        <f>" location: """&amp;_xlfn.TEXTJOIN(" ",1,TRIM(MASTER!M74))&amp;""""</f>
        <v xml:space="preserve"> location: "Pokémon League 🌊"</v>
      </c>
      <c r="H73" t="e">
        <f>" evolve: """&amp;MASTER!#REF!&amp;""" }"</f>
        <v>#REF!</v>
      </c>
      <c r="I73" s="25" t="e">
        <f t="shared" si="3"/>
        <v>#REF!</v>
      </c>
    </row>
    <row r="74" spans="1:9" x14ac:dyDescent="0.2">
      <c r="A74" t="str">
        <f>"{ id: """&amp;MASTER!H75&amp;""""</f>
        <v>{ id: "074"</v>
      </c>
      <c r="B74" t="str">
        <f>" id2: """&amp;MASTER!G75&amp;""""</f>
        <v xml:space="preserve"> id2: "031"</v>
      </c>
      <c r="C74" t="str">
        <f>" name: """&amp;MASTER!B75&amp;""""</f>
        <v xml:space="preserve"> name: "Geodude"</v>
      </c>
      <c r="D74" t="str">
        <f t="shared" si="2"/>
        <v xml:space="preserve"> img: "geodude.gif"</v>
      </c>
      <c r="E74" t="str">
        <f>" type1: """&amp;MASTER!C75&amp;""""</f>
        <v xml:space="preserve"> type1: "Rock"</v>
      </c>
      <c r="F74" t="str">
        <f>" type2: """&amp;MASTER!D75&amp;""""</f>
        <v xml:space="preserve"> type2: "Ground"</v>
      </c>
      <c r="G74" t="str">
        <f>" location: """&amp;_xlfn.TEXTJOIN(" ",1,TRIM(MASTER!M75))&amp;""""</f>
        <v xml:space="preserve"> location: "Spacious Cave 👣"</v>
      </c>
      <c r="H74" t="e">
        <f>" evolve: """&amp;MASTER!#REF!&amp;""" }"</f>
        <v>#REF!</v>
      </c>
      <c r="I74" s="25" t="e">
        <f t="shared" si="3"/>
        <v>#REF!</v>
      </c>
    </row>
    <row r="75" spans="1:9" x14ac:dyDescent="0.2">
      <c r="A75" t="str">
        <f>"{ id: """&amp;MASTER!H76&amp;""""</f>
        <v>{ id: "075"</v>
      </c>
      <c r="B75" t="str">
        <f>" id2: """&amp;MASTER!G76&amp;""""</f>
        <v xml:space="preserve"> id2: "032"</v>
      </c>
      <c r="C75" t="str">
        <f>" name: """&amp;MASTER!B76&amp;""""</f>
        <v xml:space="preserve"> name: "Graveler"</v>
      </c>
      <c r="D75" t="str">
        <f t="shared" si="2"/>
        <v xml:space="preserve"> img: "graveler.gif"</v>
      </c>
      <c r="E75" t="str">
        <f>" type1: """&amp;MASTER!C76&amp;""""</f>
        <v xml:space="preserve"> type1: "Rock"</v>
      </c>
      <c r="F75" t="str">
        <f>" type2: """&amp;MASTER!D76&amp;""""</f>
        <v xml:space="preserve"> type2: "Ground"</v>
      </c>
      <c r="G75" t="str">
        <f>" location: """&amp;_xlfn.TEXTJOIN(" ",1,TRIM(MASTER!M76))&amp;""""</f>
        <v xml:space="preserve"> location: "Iron Island B1F 👣"</v>
      </c>
      <c r="H75" t="e">
        <f>" evolve: """&amp;MASTER!#REF!&amp;""" }"</f>
        <v>#REF!</v>
      </c>
      <c r="I75" s="25" t="e">
        <f t="shared" si="3"/>
        <v>#REF!</v>
      </c>
    </row>
    <row r="76" spans="1:9" x14ac:dyDescent="0.2">
      <c r="A76" t="str">
        <f>"{ id: """&amp;MASTER!H77&amp;""""</f>
        <v>{ id: "076"</v>
      </c>
      <c r="B76" t="str">
        <f>" id2: """&amp;MASTER!G77&amp;""""</f>
        <v xml:space="preserve"> id2: "033"</v>
      </c>
      <c r="C76" t="str">
        <f>" name: """&amp;MASTER!B77&amp;""""</f>
        <v xml:space="preserve"> name: "Golem"</v>
      </c>
      <c r="D76" t="str">
        <f t="shared" si="2"/>
        <v xml:space="preserve"> img: "golem.gif"</v>
      </c>
      <c r="E76" t="str">
        <f>" type1: """&amp;MASTER!C77&amp;""""</f>
        <v xml:space="preserve"> type1: "Rock"</v>
      </c>
      <c r="F76" t="str">
        <f>" type2: """&amp;MASTER!D77&amp;""""</f>
        <v xml:space="preserve"> type2: "Ground"</v>
      </c>
      <c r="G76" t="str">
        <f>" location: """&amp;_xlfn.TEXTJOIN(" ",1,TRIM(MASTER!M77))&amp;""""</f>
        <v xml:space="preserve"> location: "None"</v>
      </c>
      <c r="H76" t="e">
        <f>" evolve: """&amp;MASTER!#REF!&amp;""" }"</f>
        <v>#REF!</v>
      </c>
      <c r="I76" s="25" t="e">
        <f t="shared" si="3"/>
        <v>#REF!</v>
      </c>
    </row>
    <row r="77" spans="1:9" x14ac:dyDescent="0.2">
      <c r="A77" t="str">
        <f>"{ id: """&amp;MASTER!H78&amp;""""</f>
        <v>{ id: "077"</v>
      </c>
      <c r="B77" t="str">
        <f>" id2: """&amp;MASTER!G78&amp;""""</f>
        <v xml:space="preserve"> id2: "090"</v>
      </c>
      <c r="C77" t="str">
        <f>" name: """&amp;MASTER!B78&amp;""""</f>
        <v xml:space="preserve"> name: "Ponyta"</v>
      </c>
      <c r="D77" t="str">
        <f t="shared" si="2"/>
        <v xml:space="preserve"> img: "ponyta.gif"</v>
      </c>
      <c r="E77" t="str">
        <f>" type1: """&amp;MASTER!C78&amp;""""</f>
        <v xml:space="preserve"> type1: "Fire"</v>
      </c>
      <c r="F77" t="str">
        <f>" type2: """&amp;MASTER!D78&amp;""""</f>
        <v xml:space="preserve"> type2: ""</v>
      </c>
      <c r="G77" t="str">
        <f>" location: """&amp;_xlfn.TEXTJOIN(" ",1,TRIM(MASTER!M78))&amp;""""</f>
        <v xml:space="preserve"> location: "Route 206 👣 🏙️"</v>
      </c>
      <c r="H77" t="e">
        <f>" evolve: """&amp;MASTER!#REF!&amp;""" }"</f>
        <v>#REF!</v>
      </c>
      <c r="I77" s="25" t="e">
        <f t="shared" si="3"/>
        <v>#REF!</v>
      </c>
    </row>
    <row r="78" spans="1:9" x14ac:dyDescent="0.2">
      <c r="A78" t="str">
        <f>"{ id: """&amp;MASTER!H79&amp;""""</f>
        <v>{ id: "078"</v>
      </c>
      <c r="B78" t="str">
        <f>" id2: """&amp;MASTER!G79&amp;""""</f>
        <v xml:space="preserve"> id2: "091"</v>
      </c>
      <c r="C78" t="str">
        <f>" name: """&amp;MASTER!B79&amp;""""</f>
        <v xml:space="preserve"> name: "Rapidash"</v>
      </c>
      <c r="D78" t="str">
        <f t="shared" si="2"/>
        <v xml:space="preserve"> img: "rapidash.gif"</v>
      </c>
      <c r="E78" t="str">
        <f>" type1: """&amp;MASTER!C79&amp;""""</f>
        <v xml:space="preserve"> type1: "Fire"</v>
      </c>
      <c r="F78" t="str">
        <f>" type2: """&amp;MASTER!D79&amp;""""</f>
        <v xml:space="preserve"> type2: ""</v>
      </c>
      <c r="G78" t="str">
        <f>" location: """&amp;_xlfn.TEXTJOIN(" ",1,TRIM(MASTER!M79))&amp;""""</f>
        <v xml:space="preserve"> location: "None"</v>
      </c>
      <c r="H78" t="e">
        <f>" evolve: """&amp;MASTER!#REF!&amp;""" }"</f>
        <v>#REF!</v>
      </c>
      <c r="I78" s="25" t="e">
        <f t="shared" si="3"/>
        <v>#REF!</v>
      </c>
    </row>
    <row r="79" spans="1:9" x14ac:dyDescent="0.2">
      <c r="A79" t="str">
        <f>"{ id: """&amp;MASTER!H80&amp;""""</f>
        <v>{ id: "079"</v>
      </c>
      <c r="B79" t="str">
        <f>" id2: """&amp;MASTER!G80&amp;""""</f>
        <v xml:space="preserve"> id2: ""</v>
      </c>
      <c r="C79" t="str">
        <f>" name: """&amp;MASTER!B80&amp;""""</f>
        <v xml:space="preserve"> name: "Slowpoke"</v>
      </c>
      <c r="D79" t="str">
        <f t="shared" si="2"/>
        <v xml:space="preserve"> img: "slowpoke.gif"</v>
      </c>
      <c r="E79" t="str">
        <f>" type1: """&amp;MASTER!C80&amp;""""</f>
        <v xml:space="preserve"> type1: "Water"</v>
      </c>
      <c r="F79" t="str">
        <f>" type2: """&amp;MASTER!D80&amp;""""</f>
        <v xml:space="preserve"> type2: "Psychic"</v>
      </c>
      <c r="G79" t="str">
        <f>" location: """&amp;_xlfn.TEXTJOIN(" ",1,TRIM(MASTER!M80))&amp;""""</f>
        <v xml:space="preserve"> location: "Spacious Cave 👣 ⚪only"</v>
      </c>
      <c r="H79" t="e">
        <f>" evolve: """&amp;MASTER!#REF!&amp;""" }"</f>
        <v>#REF!</v>
      </c>
      <c r="I79" s="25" t="e">
        <f t="shared" si="3"/>
        <v>#REF!</v>
      </c>
    </row>
    <row r="80" spans="1:9" x14ac:dyDescent="0.2">
      <c r="A80" t="str">
        <f>"{ id: """&amp;MASTER!H81&amp;""""</f>
        <v>{ id: "080"</v>
      </c>
      <c r="B80" t="str">
        <f>" id2: """&amp;MASTER!G81&amp;""""</f>
        <v xml:space="preserve"> id2: ""</v>
      </c>
      <c r="C80" t="str">
        <f>" name: """&amp;MASTER!B81&amp;""""</f>
        <v xml:space="preserve"> name: "Slowbro"</v>
      </c>
      <c r="D80" t="str">
        <f t="shared" si="2"/>
        <v xml:space="preserve"> img: "slowbro.gif"</v>
      </c>
      <c r="E80" t="str">
        <f>" type1: """&amp;MASTER!C81&amp;""""</f>
        <v xml:space="preserve"> type1: "Water"</v>
      </c>
      <c r="F80" t="str">
        <f>" type2: """&amp;MASTER!D81&amp;""""</f>
        <v xml:space="preserve"> type2: "Psychic"</v>
      </c>
      <c r="G80" t="str">
        <f>" location: """&amp;_xlfn.TEXTJOIN(" ",1,TRIM(MASTER!M81))&amp;""""</f>
        <v xml:space="preserve"> location: "None"</v>
      </c>
      <c r="H80" t="e">
        <f>" evolve: """&amp;MASTER!#REF!&amp;""" }"</f>
        <v>#REF!</v>
      </c>
      <c r="I80" s="25" t="e">
        <f t="shared" si="3"/>
        <v>#REF!</v>
      </c>
    </row>
    <row r="81" spans="1:9" x14ac:dyDescent="0.2">
      <c r="A81" t="str">
        <f>"{ id: """&amp;MASTER!H82&amp;""""</f>
        <v>{ id: "081"</v>
      </c>
      <c r="B81" t="str">
        <f>" id2: """&amp;MASTER!G82&amp;""""</f>
        <v xml:space="preserve"> id2: ""</v>
      </c>
      <c r="C81" t="str">
        <f>" name: """&amp;MASTER!B82&amp;""""</f>
        <v xml:space="preserve"> name: "Magnemite"</v>
      </c>
      <c r="D81" t="str">
        <f t="shared" si="2"/>
        <v xml:space="preserve"> img: "magnemite.gif"</v>
      </c>
      <c r="E81" t="str">
        <f>" type1: """&amp;MASTER!C82&amp;""""</f>
        <v xml:space="preserve"> type1: "Electric"</v>
      </c>
      <c r="F81" t="str">
        <f>" type2: """&amp;MASTER!D82&amp;""""</f>
        <v xml:space="preserve"> type2: "Steel"</v>
      </c>
      <c r="G81" t="str">
        <f>" location: """&amp;_xlfn.TEXTJOIN(" ",1,TRIM(MASTER!M82))&amp;""""</f>
        <v xml:space="preserve"> location: "Glacial Cave 👣 1%"</v>
      </c>
      <c r="H81" t="e">
        <f>" evolve: """&amp;MASTER!#REF!&amp;""" }"</f>
        <v>#REF!</v>
      </c>
      <c r="I81" s="25" t="e">
        <f t="shared" si="3"/>
        <v>#REF!</v>
      </c>
    </row>
    <row r="82" spans="1:9" x14ac:dyDescent="0.2">
      <c r="A82" t="str">
        <f>"{ id: """&amp;MASTER!H83&amp;""""</f>
        <v>{ id: "082"</v>
      </c>
      <c r="B82" t="str">
        <f>" id2: """&amp;MASTER!G83&amp;""""</f>
        <v xml:space="preserve"> id2: ""</v>
      </c>
      <c r="C82" t="str">
        <f>" name: """&amp;MASTER!B83&amp;""""</f>
        <v xml:space="preserve"> name: "Magneton"</v>
      </c>
      <c r="D82" t="str">
        <f t="shared" si="2"/>
        <v xml:space="preserve"> img: "magneton.gif"</v>
      </c>
      <c r="E82" t="str">
        <f>" type1: """&amp;MASTER!C83&amp;""""</f>
        <v xml:space="preserve"> type1: "Electric"</v>
      </c>
      <c r="F82" t="str">
        <f>" type2: """&amp;MASTER!D83&amp;""""</f>
        <v xml:space="preserve"> type2: "Steel"</v>
      </c>
      <c r="G82" t="str">
        <f>" location: """&amp;_xlfn.TEXTJOIN(" ",1,TRIM(MASTER!M83))&amp;""""</f>
        <v xml:space="preserve"> location: "None"</v>
      </c>
      <c r="H82" t="e">
        <f>" evolve: """&amp;MASTER!#REF!&amp;""" }"</f>
        <v>#REF!</v>
      </c>
      <c r="I82" s="25" t="e">
        <f t="shared" si="3"/>
        <v>#REF!</v>
      </c>
    </row>
    <row r="83" spans="1:9" x14ac:dyDescent="0.2">
      <c r="A83" t="str">
        <f>"{ id: """&amp;MASTER!H84&amp;""""</f>
        <v>{ id: "083"</v>
      </c>
      <c r="B83" t="str">
        <f>" id2: """&amp;MASTER!G84&amp;""""</f>
        <v xml:space="preserve"> id2: ""</v>
      </c>
      <c r="C83" t="str">
        <f>" name: """&amp;MASTER!B84&amp;""""</f>
        <v xml:space="preserve"> name: "Farfetch'd"</v>
      </c>
      <c r="D83" t="str">
        <f t="shared" si="2"/>
        <v xml:space="preserve"> img: "farfetch'd.gif"</v>
      </c>
      <c r="E83" t="str">
        <f>" type1: """&amp;MASTER!C84&amp;""""</f>
        <v xml:space="preserve"> type1: "Normal"</v>
      </c>
      <c r="F83" t="str">
        <f>" type2: """&amp;MASTER!D84&amp;""""</f>
        <v xml:space="preserve"> type2: "Flying"</v>
      </c>
      <c r="G83" t="str">
        <f>" location: """&amp;_xlfn.TEXTJOIN(" ",1,TRIM(MASTER!M84))&amp;""""</f>
        <v xml:space="preserve"> location: "Spacious Cave 👣"</v>
      </c>
      <c r="H83" t="e">
        <f>" evolve: """&amp;MASTER!#REF!&amp;""" }"</f>
        <v>#REF!</v>
      </c>
      <c r="I83" s="25" t="e">
        <f t="shared" si="3"/>
        <v>#REF!</v>
      </c>
    </row>
    <row r="84" spans="1:9" x14ac:dyDescent="0.2">
      <c r="A84" t="str">
        <f>"{ id: """&amp;MASTER!H85&amp;""""</f>
        <v>{ id: "084"</v>
      </c>
      <c r="B84" t="str">
        <f>" id2: """&amp;MASTER!G85&amp;""""</f>
        <v xml:space="preserve"> id2: ""</v>
      </c>
      <c r="C84" t="str">
        <f>" name: """&amp;MASTER!B85&amp;""""</f>
        <v xml:space="preserve"> name: "Doduo"</v>
      </c>
      <c r="D84" t="str">
        <f t="shared" si="2"/>
        <v xml:space="preserve"> img: "doduo.gif"</v>
      </c>
      <c r="E84" t="str">
        <f>" type1: """&amp;MASTER!C85&amp;""""</f>
        <v xml:space="preserve"> type1: "Normal"</v>
      </c>
      <c r="F84" t="str">
        <f>" type2: """&amp;MASTER!D85&amp;""""</f>
        <v xml:space="preserve"> type2: "Flying"</v>
      </c>
      <c r="G84" t="str">
        <f>" location: """&amp;_xlfn.TEXTJOIN(" ",1,TRIM(MASTER!M85))&amp;""""</f>
        <v xml:space="preserve"> location: "Spacious Cave 👣"</v>
      </c>
      <c r="H84" t="e">
        <f>" evolve: """&amp;MASTER!#REF!&amp;""" }"</f>
        <v>#REF!</v>
      </c>
      <c r="I84" s="25" t="e">
        <f t="shared" si="3"/>
        <v>#REF!</v>
      </c>
    </row>
    <row r="85" spans="1:9" x14ac:dyDescent="0.2">
      <c r="A85" t="str">
        <f>"{ id: """&amp;MASTER!H86&amp;""""</f>
        <v>{ id: "085"</v>
      </c>
      <c r="B85" t="str">
        <f>" id2: """&amp;MASTER!G86&amp;""""</f>
        <v xml:space="preserve"> id2: ""</v>
      </c>
      <c r="C85" t="str">
        <f>" name: """&amp;MASTER!B86&amp;""""</f>
        <v xml:space="preserve"> name: "Dodrio"</v>
      </c>
      <c r="D85" t="str">
        <f t="shared" si="2"/>
        <v xml:space="preserve"> img: "dodrio.gif"</v>
      </c>
      <c r="E85" t="str">
        <f>" type1: """&amp;MASTER!C86&amp;""""</f>
        <v xml:space="preserve"> type1: "Normal"</v>
      </c>
      <c r="F85" t="str">
        <f>" type2: """&amp;MASTER!D86&amp;""""</f>
        <v xml:space="preserve"> type2: "Flying"</v>
      </c>
      <c r="G85" t="str">
        <f>" location: """&amp;_xlfn.TEXTJOIN(" ",1,TRIM(MASTER!M86))&amp;""""</f>
        <v xml:space="preserve"> location: "None"</v>
      </c>
      <c r="H85" t="e">
        <f>" evolve: """&amp;MASTER!#REF!&amp;""" }"</f>
        <v>#REF!</v>
      </c>
      <c r="I85" s="25" t="e">
        <f t="shared" si="3"/>
        <v>#REF!</v>
      </c>
    </row>
    <row r="86" spans="1:9" x14ac:dyDescent="0.2">
      <c r="A86" t="str">
        <f>"{ id: """&amp;MASTER!H87&amp;""""</f>
        <v>{ id: "086"</v>
      </c>
      <c r="B86" t="str">
        <f>" id2: """&amp;MASTER!G87&amp;""""</f>
        <v xml:space="preserve"> id2: ""</v>
      </c>
      <c r="C86" t="str">
        <f>" name: """&amp;MASTER!B87&amp;""""</f>
        <v xml:space="preserve"> name: "Seel"</v>
      </c>
      <c r="D86" t="str">
        <f t="shared" si="2"/>
        <v xml:space="preserve"> img: "seel.gif"</v>
      </c>
      <c r="E86" t="str">
        <f>" type1: """&amp;MASTER!C87&amp;""""</f>
        <v xml:space="preserve"> type1: "Water"</v>
      </c>
      <c r="F86" t="str">
        <f>" type2: """&amp;MASTER!D87&amp;""""</f>
        <v xml:space="preserve"> type2: ""</v>
      </c>
      <c r="G86" t="str">
        <f>" location: """&amp;_xlfn.TEXTJOIN(" ",1,TRIM(MASTER!M87))&amp;""""</f>
        <v xml:space="preserve"> location: "Fountainspring Cave 👣 💎only"</v>
      </c>
      <c r="H86" t="e">
        <f>" evolve: """&amp;MASTER!#REF!&amp;""" }"</f>
        <v>#REF!</v>
      </c>
      <c r="I86" s="25" t="e">
        <f t="shared" si="3"/>
        <v>#REF!</v>
      </c>
    </row>
    <row r="87" spans="1:9" x14ac:dyDescent="0.2">
      <c r="A87" t="str">
        <f>"{ id: """&amp;MASTER!H88&amp;""""</f>
        <v>{ id: "087"</v>
      </c>
      <c r="B87" t="str">
        <f>" id2: """&amp;MASTER!G88&amp;""""</f>
        <v xml:space="preserve"> id2: ""</v>
      </c>
      <c r="C87" t="str">
        <f>" name: """&amp;MASTER!B88&amp;""""</f>
        <v xml:space="preserve"> name: "Dewgong"</v>
      </c>
      <c r="D87" t="str">
        <f t="shared" si="2"/>
        <v xml:space="preserve"> img: "dewgong.gif"</v>
      </c>
      <c r="E87" t="str">
        <f>" type1: """&amp;MASTER!C88&amp;""""</f>
        <v xml:space="preserve"> type1: "Water"</v>
      </c>
      <c r="F87" t="str">
        <f>" type2: """&amp;MASTER!D88&amp;""""</f>
        <v xml:space="preserve"> type2: "Ice"</v>
      </c>
      <c r="G87" t="str">
        <f>" location: """&amp;_xlfn.TEXTJOIN(" ",1,TRIM(MASTER!M88))&amp;""""</f>
        <v xml:space="preserve"> location: "Fountainspring Cave 👣 💎only"</v>
      </c>
      <c r="H87" t="e">
        <f>" evolve: """&amp;MASTER!#REF!&amp;""" }"</f>
        <v>#REF!</v>
      </c>
      <c r="I87" s="25" t="e">
        <f t="shared" si="3"/>
        <v>#REF!</v>
      </c>
    </row>
    <row r="88" spans="1:9" x14ac:dyDescent="0.2">
      <c r="A88" t="str">
        <f>"{ id: """&amp;MASTER!H89&amp;""""</f>
        <v>{ id: "088"</v>
      </c>
      <c r="B88" t="str">
        <f>" id2: """&amp;MASTER!G89&amp;""""</f>
        <v xml:space="preserve"> id2: ""</v>
      </c>
      <c r="C88" t="str">
        <f>" name: """&amp;MASTER!B89&amp;""""</f>
        <v xml:space="preserve"> name: "Grimer"</v>
      </c>
      <c r="D88" t="str">
        <f t="shared" si="2"/>
        <v xml:space="preserve"> img: "grimer.gif"</v>
      </c>
      <c r="E88" t="str">
        <f>" type1: """&amp;MASTER!C89&amp;""""</f>
        <v xml:space="preserve"> type1: "Poison"</v>
      </c>
      <c r="F88" t="str">
        <f>" type2: """&amp;MASTER!D89&amp;""""</f>
        <v xml:space="preserve"> type2: ""</v>
      </c>
      <c r="G88" t="str">
        <f>" location: """&amp;_xlfn.TEXTJOIN(" ",1,TRIM(MASTER!M89))&amp;""""</f>
        <v xml:space="preserve"> location: "Swampy Cave 👣"</v>
      </c>
      <c r="H88" t="e">
        <f>" evolve: """&amp;MASTER!#REF!&amp;""" }"</f>
        <v>#REF!</v>
      </c>
      <c r="I88" s="25" t="e">
        <f t="shared" si="3"/>
        <v>#REF!</v>
      </c>
    </row>
    <row r="89" spans="1:9" x14ac:dyDescent="0.2">
      <c r="A89" t="str">
        <f>"{ id: """&amp;MASTER!H90&amp;""""</f>
        <v>{ id: "089"</v>
      </c>
      <c r="B89" t="str">
        <f>" id2: """&amp;MASTER!G90&amp;""""</f>
        <v xml:space="preserve"> id2: ""</v>
      </c>
      <c r="C89" t="str">
        <f>" name: """&amp;MASTER!B90&amp;""""</f>
        <v xml:space="preserve"> name: "Muk"</v>
      </c>
      <c r="D89" t="str">
        <f t="shared" si="2"/>
        <v xml:space="preserve"> img: "muk.gif"</v>
      </c>
      <c r="E89" t="str">
        <f>" type1: """&amp;MASTER!C90&amp;""""</f>
        <v xml:space="preserve"> type1: "Poison"</v>
      </c>
      <c r="F89" t="str">
        <f>" type2: """&amp;MASTER!D90&amp;""""</f>
        <v xml:space="preserve"> type2: ""</v>
      </c>
      <c r="G89" t="str">
        <f>" location: """&amp;_xlfn.TEXTJOIN(" ",1,TRIM(MASTER!M90))&amp;""""</f>
        <v xml:space="preserve"> location: "None"</v>
      </c>
      <c r="H89" t="e">
        <f>" evolve: """&amp;MASTER!#REF!&amp;""" }"</f>
        <v>#REF!</v>
      </c>
      <c r="I89" s="25" t="e">
        <f t="shared" si="3"/>
        <v>#REF!</v>
      </c>
    </row>
    <row r="90" spans="1:9" x14ac:dyDescent="0.2">
      <c r="A90" t="str">
        <f>"{ id: """&amp;MASTER!H91&amp;""""</f>
        <v>{ id: "090"</v>
      </c>
      <c r="B90" t="str">
        <f>" id2: """&amp;MASTER!G91&amp;""""</f>
        <v xml:space="preserve"> id2: ""</v>
      </c>
      <c r="C90" t="str">
        <f>" name: """&amp;MASTER!B91&amp;""""</f>
        <v xml:space="preserve"> name: "Shellder"</v>
      </c>
      <c r="D90" t="str">
        <f t="shared" si="2"/>
        <v xml:space="preserve"> img: "shellder.gif"</v>
      </c>
      <c r="E90" t="str">
        <f>" type1: """&amp;MASTER!C91&amp;""""</f>
        <v xml:space="preserve"> type1: "Water"</v>
      </c>
      <c r="F90" t="str">
        <f>" type2: """&amp;MASTER!D91&amp;""""</f>
        <v xml:space="preserve"> type2: ""</v>
      </c>
      <c r="G90" t="str">
        <f>" location: """&amp;_xlfn.TEXTJOIN(" ",1,TRIM(MASTER!M91))&amp;""""</f>
        <v xml:space="preserve"> location: "Fountainspring Cave 👣"</v>
      </c>
      <c r="H90" t="e">
        <f>" evolve: """&amp;MASTER!#REF!&amp;""" }"</f>
        <v>#REF!</v>
      </c>
      <c r="I90" s="25" t="e">
        <f t="shared" si="3"/>
        <v>#REF!</v>
      </c>
    </row>
    <row r="91" spans="1:9" x14ac:dyDescent="0.2">
      <c r="A91" t="str">
        <f>"{ id: """&amp;MASTER!H92&amp;""""</f>
        <v>{ id: "091"</v>
      </c>
      <c r="B91" t="str">
        <f>" id2: """&amp;MASTER!G92&amp;""""</f>
        <v xml:space="preserve"> id2: ""</v>
      </c>
      <c r="C91" t="str">
        <f>" name: """&amp;MASTER!B92&amp;""""</f>
        <v xml:space="preserve"> name: "Cloyster"</v>
      </c>
      <c r="D91" t="str">
        <f t="shared" si="2"/>
        <v xml:space="preserve"> img: "cloyster.gif"</v>
      </c>
      <c r="E91" t="str">
        <f>" type1: """&amp;MASTER!C92&amp;""""</f>
        <v xml:space="preserve"> type1: "Water"</v>
      </c>
      <c r="F91" t="str">
        <f>" type2: """&amp;MASTER!D92&amp;""""</f>
        <v xml:space="preserve"> type2: "Ice"</v>
      </c>
      <c r="G91" t="str">
        <f>" location: """&amp;_xlfn.TEXTJOIN(" ",1,TRIM(MASTER!M92))&amp;""""</f>
        <v xml:space="preserve"> location: "None"</v>
      </c>
      <c r="H91" t="e">
        <f>" evolve: """&amp;MASTER!#REF!&amp;""" }"</f>
        <v>#REF!</v>
      </c>
      <c r="I91" s="25" t="e">
        <f t="shared" si="3"/>
        <v>#REF!</v>
      </c>
    </row>
    <row r="92" spans="1:9" x14ac:dyDescent="0.2">
      <c r="A92" t="str">
        <f>"{ id: """&amp;MASTER!H93&amp;""""</f>
        <v>{ id: "092"</v>
      </c>
      <c r="B92" t="str">
        <f>" id2: """&amp;MASTER!G93&amp;""""</f>
        <v xml:space="preserve"> id2: "069"</v>
      </c>
      <c r="C92" t="str">
        <f>" name: """&amp;MASTER!B93&amp;""""</f>
        <v xml:space="preserve"> name: "Gastly"</v>
      </c>
      <c r="D92" t="str">
        <f t="shared" si="2"/>
        <v xml:space="preserve"> img: "gastly.gif"</v>
      </c>
      <c r="E92" t="str">
        <f>" type1: """&amp;MASTER!C93&amp;""""</f>
        <v xml:space="preserve"> type1: "Ghost"</v>
      </c>
      <c r="F92" t="str">
        <f>" type2: """&amp;MASTER!D93&amp;""""</f>
        <v xml:space="preserve"> type2: "Poison"</v>
      </c>
      <c r="G92" t="str">
        <f>" location: """&amp;_xlfn.TEXTJOIN(" ",1,TRIM(MASTER!M93))&amp;""""</f>
        <v xml:space="preserve"> location: "Dazzling Cave 👣"</v>
      </c>
      <c r="H92" t="e">
        <f>" evolve: """&amp;MASTER!#REF!&amp;""" }"</f>
        <v>#REF!</v>
      </c>
      <c r="I92" s="25" t="e">
        <f t="shared" si="3"/>
        <v>#REF!</v>
      </c>
    </row>
    <row r="93" spans="1:9" x14ac:dyDescent="0.2">
      <c r="A93" t="str">
        <f>"{ id: """&amp;MASTER!H94&amp;""""</f>
        <v>{ id: "093"</v>
      </c>
      <c r="B93" t="str">
        <f>" id2: """&amp;MASTER!G94&amp;""""</f>
        <v xml:space="preserve"> id2: "070"</v>
      </c>
      <c r="C93" t="str">
        <f>" name: """&amp;MASTER!B94&amp;""""</f>
        <v xml:space="preserve"> name: "Haunter"</v>
      </c>
      <c r="D93" t="str">
        <f t="shared" si="2"/>
        <v xml:space="preserve"> img: "haunter.gif"</v>
      </c>
      <c r="E93" t="str">
        <f>" type1: """&amp;MASTER!C94&amp;""""</f>
        <v xml:space="preserve"> type1: "Ghost"</v>
      </c>
      <c r="F93" t="str">
        <f>" type2: """&amp;MASTER!D94&amp;""""</f>
        <v xml:space="preserve"> type2: "Poison"</v>
      </c>
      <c r="G93" t="str">
        <f>" location: """&amp;_xlfn.TEXTJOIN(" ",1,TRIM(MASTER!M94))&amp;""""</f>
        <v xml:space="preserve"> location: "Turnback Cave 👣"</v>
      </c>
      <c r="H93" t="e">
        <f>" evolve: """&amp;MASTER!#REF!&amp;""" }"</f>
        <v>#REF!</v>
      </c>
      <c r="I93" s="25" t="e">
        <f t="shared" si="3"/>
        <v>#REF!</v>
      </c>
    </row>
    <row r="94" spans="1:9" x14ac:dyDescent="0.2">
      <c r="A94" t="str">
        <f>"{ id: """&amp;MASTER!H95&amp;""""</f>
        <v>{ id: "094"</v>
      </c>
      <c r="B94" t="str">
        <f>" id2: """&amp;MASTER!G95&amp;""""</f>
        <v xml:space="preserve"> id2: "071"</v>
      </c>
      <c r="C94" t="str">
        <f>" name: """&amp;MASTER!B95&amp;""""</f>
        <v xml:space="preserve"> name: "Gengar"</v>
      </c>
      <c r="D94" t="str">
        <f t="shared" si="2"/>
        <v xml:space="preserve"> img: "gengar.gif"</v>
      </c>
      <c r="E94" t="str">
        <f>" type1: """&amp;MASTER!C95&amp;""""</f>
        <v xml:space="preserve"> type1: "Ghost"</v>
      </c>
      <c r="F94" t="str">
        <f>" type2: """&amp;MASTER!D95&amp;""""</f>
        <v xml:space="preserve"> type2: "Poison"</v>
      </c>
      <c r="G94" t="str">
        <f>" location: """&amp;_xlfn.TEXTJOIN(" ",1,TRIM(MASTER!M95))&amp;""""</f>
        <v xml:space="preserve"> location: "None"</v>
      </c>
      <c r="H94" t="e">
        <f>" evolve: """&amp;MASTER!#REF!&amp;""" }"</f>
        <v>#REF!</v>
      </c>
      <c r="I94" s="25" t="e">
        <f t="shared" si="3"/>
        <v>#REF!</v>
      </c>
    </row>
    <row r="95" spans="1:9" x14ac:dyDescent="0.2">
      <c r="A95" t="str">
        <f>"{ id: """&amp;MASTER!H96&amp;""""</f>
        <v>{ id: "095"</v>
      </c>
      <c r="B95" t="str">
        <f>" id2: """&amp;MASTER!G96&amp;""""</f>
        <v xml:space="preserve"> id2: "034"</v>
      </c>
      <c r="C95" t="str">
        <f>" name: """&amp;MASTER!B96&amp;""""</f>
        <v xml:space="preserve"> name: "Onix"</v>
      </c>
      <c r="D95" t="str">
        <f t="shared" si="2"/>
        <v xml:space="preserve"> img: "onix.gif"</v>
      </c>
      <c r="E95" t="str">
        <f>" type1: """&amp;MASTER!C96&amp;""""</f>
        <v xml:space="preserve"> type1: "Rock"</v>
      </c>
      <c r="F95" t="str">
        <f>" type2: """&amp;MASTER!D96&amp;""""</f>
        <v xml:space="preserve"> type2: "Ground"</v>
      </c>
      <c r="G95" t="str">
        <f>" location: """&amp;_xlfn.TEXTJOIN(" ",1,TRIM(MASTER!M96))&amp;""""</f>
        <v xml:space="preserve"> location: "Rocky Cave 👣"</v>
      </c>
      <c r="H95" t="e">
        <f>" evolve: """&amp;MASTER!#REF!&amp;""" }"</f>
        <v>#REF!</v>
      </c>
      <c r="I95" s="25" t="e">
        <f t="shared" si="3"/>
        <v>#REF!</v>
      </c>
    </row>
    <row r="96" spans="1:9" x14ac:dyDescent="0.2">
      <c r="A96" t="str">
        <f>"{ id: """&amp;MASTER!H97&amp;""""</f>
        <v>{ id: "096"</v>
      </c>
      <c r="B96" t="str">
        <f>" id2: """&amp;MASTER!G97&amp;""""</f>
        <v xml:space="preserve"> id2: ""</v>
      </c>
      <c r="C96" t="str">
        <f>" name: """&amp;MASTER!B97&amp;""""</f>
        <v xml:space="preserve"> name: "Drowzee"</v>
      </c>
      <c r="D96" t="str">
        <f t="shared" si="2"/>
        <v xml:space="preserve"> img: "drowzee.gif"</v>
      </c>
      <c r="E96" t="str">
        <f>" type1: """&amp;MASTER!C97&amp;""""</f>
        <v xml:space="preserve"> type1: "Psychic"</v>
      </c>
      <c r="F96" t="str">
        <f>" type2: """&amp;MASTER!D97&amp;""""</f>
        <v xml:space="preserve"> type2: ""</v>
      </c>
      <c r="G96" t="str">
        <f>" location: """&amp;_xlfn.TEXTJOIN(" ",1,TRIM(MASTER!M97))&amp;""""</f>
        <v xml:space="preserve"> location: "Dazzling Cave 👣"</v>
      </c>
      <c r="H96" t="e">
        <f>" evolve: """&amp;MASTER!#REF!&amp;""" }"</f>
        <v>#REF!</v>
      </c>
      <c r="I96" s="25" t="e">
        <f t="shared" si="3"/>
        <v>#REF!</v>
      </c>
    </row>
    <row r="97" spans="1:9" x14ac:dyDescent="0.2">
      <c r="A97" t="str">
        <f>"{ id: """&amp;MASTER!H98&amp;""""</f>
        <v>{ id: "097"</v>
      </c>
      <c r="B97" t="str">
        <f>" id2: """&amp;MASTER!G98&amp;""""</f>
        <v xml:space="preserve"> id2: ""</v>
      </c>
      <c r="C97" t="str">
        <f>" name: """&amp;MASTER!B98&amp;""""</f>
        <v xml:space="preserve"> name: "Hypno"</v>
      </c>
      <c r="D97" t="str">
        <f t="shared" si="2"/>
        <v xml:space="preserve"> img: "hypno.gif"</v>
      </c>
      <c r="E97" t="str">
        <f>" type1: """&amp;MASTER!C98&amp;""""</f>
        <v xml:space="preserve"> type1: "Psychic"</v>
      </c>
      <c r="F97" t="str">
        <f>" type2: """&amp;MASTER!D98&amp;""""</f>
        <v xml:space="preserve"> type2: ""</v>
      </c>
      <c r="G97" t="str">
        <f>" location: """&amp;_xlfn.TEXTJOIN(" ",1,TRIM(MASTER!M98))&amp;""""</f>
        <v xml:space="preserve"> location: "None"</v>
      </c>
      <c r="H97" t="e">
        <f>" evolve: """&amp;MASTER!#REF!&amp;""" }"</f>
        <v>#REF!</v>
      </c>
      <c r="I97" s="25" t="e">
        <f t="shared" si="3"/>
        <v>#REF!</v>
      </c>
    </row>
    <row r="98" spans="1:9" x14ac:dyDescent="0.2">
      <c r="A98" t="str">
        <f>"{ id: """&amp;MASTER!H99&amp;""""</f>
        <v>{ id: "098"</v>
      </c>
      <c r="B98" t="str">
        <f>" id2: """&amp;MASTER!G99&amp;""""</f>
        <v xml:space="preserve"> id2: ""</v>
      </c>
      <c r="C98" t="str">
        <f>" name: """&amp;MASTER!B99&amp;""""</f>
        <v xml:space="preserve"> name: "Krabby"</v>
      </c>
      <c r="D98" t="str">
        <f t="shared" si="2"/>
        <v xml:space="preserve"> img: "krabby.gif"</v>
      </c>
      <c r="E98" t="str">
        <f>" type1: """&amp;MASTER!C99&amp;""""</f>
        <v xml:space="preserve"> type1: "Water"</v>
      </c>
      <c r="F98" t="str">
        <f>" type2: """&amp;MASTER!D99&amp;""""</f>
        <v xml:space="preserve"> type2: ""</v>
      </c>
      <c r="G98" t="str">
        <f>" location: """&amp;_xlfn.TEXTJOIN(" ",1,TRIM(MASTER!M99))&amp;""""</f>
        <v xml:space="preserve"> location: "Spacious Cave 👣"</v>
      </c>
      <c r="H98" t="e">
        <f>" evolve: """&amp;MASTER!#REF!&amp;""" }"</f>
        <v>#REF!</v>
      </c>
      <c r="I98" s="25" t="e">
        <f t="shared" si="3"/>
        <v>#REF!</v>
      </c>
    </row>
    <row r="99" spans="1:9" x14ac:dyDescent="0.2">
      <c r="A99" t="str">
        <f>"{ id: """&amp;MASTER!H100&amp;""""</f>
        <v>{ id: "099"</v>
      </c>
      <c r="B99" t="str">
        <f>" id2: """&amp;MASTER!G100&amp;""""</f>
        <v xml:space="preserve"> id2: ""</v>
      </c>
      <c r="C99" t="str">
        <f>" name: """&amp;MASTER!B100&amp;""""</f>
        <v xml:space="preserve"> name: "Kingler"</v>
      </c>
      <c r="D99" t="str">
        <f t="shared" si="2"/>
        <v xml:space="preserve"> img: "kingler.gif"</v>
      </c>
      <c r="E99" t="str">
        <f>" type1: """&amp;MASTER!C100&amp;""""</f>
        <v xml:space="preserve"> type1: "Water"</v>
      </c>
      <c r="F99" t="str">
        <f>" type2: """&amp;MASTER!D100&amp;""""</f>
        <v xml:space="preserve"> type2: ""</v>
      </c>
      <c r="G99" t="str">
        <f>" location: """&amp;_xlfn.TEXTJOIN(" ",1,TRIM(MASTER!M100))&amp;""""</f>
        <v xml:space="preserve"> location: "None"</v>
      </c>
      <c r="H99" t="e">
        <f>" evolve: """&amp;MASTER!#REF!&amp;""" }"</f>
        <v>#REF!</v>
      </c>
      <c r="I99" s="25" t="e">
        <f t="shared" si="3"/>
        <v>#REF!</v>
      </c>
    </row>
    <row r="100" spans="1:9" x14ac:dyDescent="0.2">
      <c r="A100" t="str">
        <f>"{ id: """&amp;MASTER!H101&amp;""""</f>
        <v>{ id: "100"</v>
      </c>
      <c r="B100" t="str">
        <f>" id2: """&amp;MASTER!G101&amp;""""</f>
        <v xml:space="preserve"> id2: ""</v>
      </c>
      <c r="C100" t="str">
        <f>" name: """&amp;MASTER!B101&amp;""""</f>
        <v xml:space="preserve"> name: "Voltorb"</v>
      </c>
      <c r="D100" t="str">
        <f t="shared" si="2"/>
        <v xml:space="preserve"> img: "voltorb.gif"</v>
      </c>
      <c r="E100" t="str">
        <f>" type1: """&amp;MASTER!C101&amp;""""</f>
        <v xml:space="preserve"> type1: "Electric"</v>
      </c>
      <c r="F100" t="str">
        <f>" type2: """&amp;MASTER!D101&amp;""""</f>
        <v xml:space="preserve"> type2: ""</v>
      </c>
      <c r="G100" t="str">
        <f>" location: """&amp;_xlfn.TEXTJOIN(" ",1,TRIM(MASTER!M101))&amp;""""</f>
        <v xml:space="preserve"> location: "Spacious Cave 👣"</v>
      </c>
      <c r="H100" t="e">
        <f>" evolve: """&amp;MASTER!#REF!&amp;""" }"</f>
        <v>#REF!</v>
      </c>
      <c r="I100" s="25" t="e">
        <f t="shared" si="3"/>
        <v>#REF!</v>
      </c>
    </row>
    <row r="101" spans="1:9" x14ac:dyDescent="0.2">
      <c r="A101" t="str">
        <f>"{ id: """&amp;MASTER!H102&amp;""""</f>
        <v>{ id: "101"</v>
      </c>
      <c r="B101" t="str">
        <f>" id2: """&amp;MASTER!G102&amp;""""</f>
        <v xml:space="preserve"> id2: ""</v>
      </c>
      <c r="C101" t="str">
        <f>" name: """&amp;MASTER!B102&amp;""""</f>
        <v xml:space="preserve"> name: "Electrode"</v>
      </c>
      <c r="D101" t="str">
        <f t="shared" si="2"/>
        <v xml:space="preserve"> img: "electrode.gif"</v>
      </c>
      <c r="E101" t="str">
        <f>" type1: """&amp;MASTER!C102&amp;""""</f>
        <v xml:space="preserve"> type1: "Electric"</v>
      </c>
      <c r="F101" t="str">
        <f>" type2: """&amp;MASTER!D102&amp;""""</f>
        <v xml:space="preserve"> type2: ""</v>
      </c>
      <c r="G101" t="str">
        <f>" location: """&amp;_xlfn.TEXTJOIN(" ",1,TRIM(MASTER!M102))&amp;""""</f>
        <v xml:space="preserve"> location: "None"</v>
      </c>
      <c r="H101" t="e">
        <f>" evolve: """&amp;MASTER!#REF!&amp;""" }"</f>
        <v>#REF!</v>
      </c>
      <c r="I101" s="25" t="e">
        <f t="shared" si="3"/>
        <v>#REF!</v>
      </c>
    </row>
    <row r="102" spans="1:9" x14ac:dyDescent="0.2">
      <c r="A102" t="str">
        <f>"{ id: """&amp;MASTER!H103&amp;""""</f>
        <v>{ id: "102"</v>
      </c>
      <c r="B102" t="str">
        <f>" id2: """&amp;MASTER!G103&amp;""""</f>
        <v xml:space="preserve"> id2: ""</v>
      </c>
      <c r="C102" t="str">
        <f>" name: """&amp;MASTER!B103&amp;""""</f>
        <v xml:space="preserve"> name: "Exeggcute"</v>
      </c>
      <c r="D102" t="str">
        <f t="shared" si="2"/>
        <v xml:space="preserve"> img: "exeggcute.gif"</v>
      </c>
      <c r="E102" t="str">
        <f>" type1: """&amp;MASTER!C103&amp;""""</f>
        <v xml:space="preserve"> type1: "Grass"</v>
      </c>
      <c r="F102" t="str">
        <f>" type2: """&amp;MASTER!D103&amp;""""</f>
        <v xml:space="preserve"> type2: "Psychic"</v>
      </c>
      <c r="G102" t="str">
        <f>" location: """&amp;_xlfn.TEXTJOIN(" ",1,TRIM(MASTER!M103))&amp;""""</f>
        <v xml:space="preserve"> location: "Great Marsh (Special) 👣 3%"</v>
      </c>
      <c r="H102" t="e">
        <f>" evolve: """&amp;MASTER!#REF!&amp;""" }"</f>
        <v>#REF!</v>
      </c>
      <c r="I102" s="25" t="e">
        <f t="shared" si="3"/>
        <v>#REF!</v>
      </c>
    </row>
    <row r="103" spans="1:9" x14ac:dyDescent="0.2">
      <c r="A103" t="str">
        <f>"{ id: """&amp;MASTER!H104&amp;""""</f>
        <v>{ id: "103"</v>
      </c>
      <c r="B103" t="str">
        <f>" id2: """&amp;MASTER!G104&amp;""""</f>
        <v xml:space="preserve"> id2: ""</v>
      </c>
      <c r="C103" t="str">
        <f>" name: """&amp;MASTER!B104&amp;""""</f>
        <v xml:space="preserve"> name: "Exeggutor"</v>
      </c>
      <c r="D103" t="str">
        <f t="shared" si="2"/>
        <v xml:space="preserve"> img: "exeggutor.gif"</v>
      </c>
      <c r="E103" t="str">
        <f>" type1: """&amp;MASTER!C104&amp;""""</f>
        <v xml:space="preserve"> type1: "Grass"</v>
      </c>
      <c r="F103" t="str">
        <f>" type2: """&amp;MASTER!D104&amp;""""</f>
        <v xml:space="preserve"> type2: "Psychic"</v>
      </c>
      <c r="G103" t="str">
        <f>" location: """&amp;_xlfn.TEXTJOIN(" ",1,TRIM(MASTER!M104))&amp;""""</f>
        <v xml:space="preserve"> location: "None"</v>
      </c>
      <c r="H103" t="e">
        <f>" evolve: """&amp;MASTER!#REF!&amp;""" }"</f>
        <v>#REF!</v>
      </c>
      <c r="I103" s="25" t="e">
        <f t="shared" si="3"/>
        <v>#REF!</v>
      </c>
    </row>
    <row r="104" spans="1:9" x14ac:dyDescent="0.2">
      <c r="A104" t="str">
        <f>"{ id: """&amp;MASTER!H105&amp;""""</f>
        <v>{ id: "104"</v>
      </c>
      <c r="B104" t="str">
        <f>" id2: """&amp;MASTER!G105&amp;""""</f>
        <v xml:space="preserve"> id2: ""</v>
      </c>
      <c r="C104" t="str">
        <f>" name: """&amp;MASTER!B105&amp;""""</f>
        <v xml:space="preserve"> name: "Cubone"</v>
      </c>
      <c r="D104" t="str">
        <f t="shared" si="2"/>
        <v xml:space="preserve"> img: "cubone.gif"</v>
      </c>
      <c r="E104" t="str">
        <f>" type1: """&amp;MASTER!C105&amp;""""</f>
        <v xml:space="preserve"> type1: "Ground"</v>
      </c>
      <c r="F104" t="str">
        <f>" type2: """&amp;MASTER!D105&amp;""""</f>
        <v xml:space="preserve"> type2: ""</v>
      </c>
      <c r="G104" t="str">
        <f>" location: """&amp;_xlfn.TEXTJOIN(" ",1,TRIM(MASTER!M105))&amp;""""</f>
        <v xml:space="preserve"> location: "Dazzling Cave 👣"</v>
      </c>
      <c r="H104" t="e">
        <f>" evolve: """&amp;MASTER!#REF!&amp;""" }"</f>
        <v>#REF!</v>
      </c>
      <c r="I104" s="25" t="e">
        <f t="shared" si="3"/>
        <v>#REF!</v>
      </c>
    </row>
    <row r="105" spans="1:9" x14ac:dyDescent="0.2">
      <c r="A105" t="str">
        <f>"{ id: """&amp;MASTER!H106&amp;""""</f>
        <v>{ id: "105"</v>
      </c>
      <c r="B105" t="str">
        <f>" id2: """&amp;MASTER!G106&amp;""""</f>
        <v xml:space="preserve"> id2: ""</v>
      </c>
      <c r="C105" t="str">
        <f>" name: """&amp;MASTER!B106&amp;""""</f>
        <v xml:space="preserve"> name: "Marowak"</v>
      </c>
      <c r="D105" t="str">
        <f t="shared" si="2"/>
        <v xml:space="preserve"> img: "marowak.gif"</v>
      </c>
      <c r="E105" t="str">
        <f>" type1: """&amp;MASTER!C106&amp;""""</f>
        <v xml:space="preserve"> type1: "Ground"</v>
      </c>
      <c r="F105" t="str">
        <f>" type2: """&amp;MASTER!D106&amp;""""</f>
        <v xml:space="preserve"> type2: ""</v>
      </c>
      <c r="G105" t="str">
        <f>" location: """&amp;_xlfn.TEXTJOIN(" ",1,TRIM(MASTER!M106))&amp;""""</f>
        <v xml:space="preserve"> location: "None"</v>
      </c>
      <c r="H105" t="e">
        <f>" evolve: """&amp;MASTER!#REF!&amp;""" }"</f>
        <v>#REF!</v>
      </c>
      <c r="I105" s="25" t="e">
        <f t="shared" si="3"/>
        <v>#REF!</v>
      </c>
    </row>
    <row r="106" spans="1:9" x14ac:dyDescent="0.2">
      <c r="A106" t="str">
        <f>"{ id: """&amp;MASTER!H107&amp;""""</f>
        <v>{ id: "106"</v>
      </c>
      <c r="B106" t="str">
        <f>" id2: """&amp;MASTER!G107&amp;""""</f>
        <v xml:space="preserve"> id2: ""</v>
      </c>
      <c r="C106" t="str">
        <f>" name: """&amp;MASTER!B107&amp;""""</f>
        <v xml:space="preserve"> name: "Hitmonlee"</v>
      </c>
      <c r="D106" t="str">
        <f t="shared" si="2"/>
        <v xml:space="preserve"> img: "hitmonlee.gif"</v>
      </c>
      <c r="E106" t="str">
        <f>" type1: """&amp;MASTER!C107&amp;""""</f>
        <v xml:space="preserve"> type1: "Fighting"</v>
      </c>
      <c r="F106" t="str">
        <f>" type2: """&amp;MASTER!D107&amp;""""</f>
        <v xml:space="preserve"> type2: ""</v>
      </c>
      <c r="G106" t="str">
        <f>" location: """&amp;_xlfn.TEXTJOIN(" ",1,TRIM(MASTER!M107))&amp;""""</f>
        <v xml:space="preserve"> location: "None"</v>
      </c>
      <c r="H106" t="e">
        <f>" evolve: """&amp;MASTER!#REF!&amp;""" }"</f>
        <v>#REF!</v>
      </c>
      <c r="I106" s="25" t="e">
        <f t="shared" si="3"/>
        <v>#REF!</v>
      </c>
    </row>
    <row r="107" spans="1:9" x14ac:dyDescent="0.2">
      <c r="A107" t="str">
        <f>"{ id: """&amp;MASTER!H108&amp;""""</f>
        <v>{ id: "107"</v>
      </c>
      <c r="B107" t="str">
        <f>" id2: """&amp;MASTER!G108&amp;""""</f>
        <v xml:space="preserve"> id2: ""</v>
      </c>
      <c r="C107" t="str">
        <f>" name: """&amp;MASTER!B108&amp;""""</f>
        <v xml:space="preserve"> name: "Hitmonchan"</v>
      </c>
      <c r="D107" t="str">
        <f t="shared" si="2"/>
        <v xml:space="preserve"> img: "hitmonchan.gif"</v>
      </c>
      <c r="E107" t="str">
        <f>" type1: """&amp;MASTER!C108&amp;""""</f>
        <v xml:space="preserve"> type1: "Fighting"</v>
      </c>
      <c r="F107" t="str">
        <f>" type2: """&amp;MASTER!D108&amp;""""</f>
        <v xml:space="preserve"> type2: ""</v>
      </c>
      <c r="G107" t="str">
        <f>" location: """&amp;_xlfn.TEXTJOIN(" ",1,TRIM(MASTER!M108))&amp;""""</f>
        <v xml:space="preserve"> location: "None"</v>
      </c>
      <c r="H107" t="e">
        <f>" evolve: """&amp;MASTER!#REF!&amp;""" }"</f>
        <v>#REF!</v>
      </c>
      <c r="I107" s="25" t="e">
        <f t="shared" si="3"/>
        <v>#REF!</v>
      </c>
    </row>
    <row r="108" spans="1:9" x14ac:dyDescent="0.2">
      <c r="A108" t="str">
        <f>"{ id: """&amp;MASTER!H109&amp;""""</f>
        <v>{ id: "108"</v>
      </c>
      <c r="B108" t="str">
        <f>" id2: """&amp;MASTER!G109&amp;""""</f>
        <v xml:space="preserve"> id2: ""</v>
      </c>
      <c r="C108" t="str">
        <f>" name: """&amp;MASTER!B109&amp;""""</f>
        <v xml:space="preserve"> name: "Lickitung"</v>
      </c>
      <c r="D108" t="str">
        <f t="shared" si="2"/>
        <v xml:space="preserve"> img: "lickitung.gif"</v>
      </c>
      <c r="E108" t="str">
        <f>" type1: """&amp;MASTER!C109&amp;""""</f>
        <v xml:space="preserve"> type1: "Normal"</v>
      </c>
      <c r="F108" t="str">
        <f>" type2: """&amp;MASTER!D109&amp;""""</f>
        <v xml:space="preserve"> type2: ""</v>
      </c>
      <c r="G108" t="str">
        <f>" location: """&amp;_xlfn.TEXTJOIN(" ",1,TRIM(MASTER!M109))&amp;""""</f>
        <v xml:space="preserve"> location: "Riverbank Cave 👣"</v>
      </c>
      <c r="H108" t="e">
        <f>" evolve: """&amp;MASTER!#REF!&amp;""" }"</f>
        <v>#REF!</v>
      </c>
      <c r="I108" s="25" t="e">
        <f t="shared" si="3"/>
        <v>#REF!</v>
      </c>
    </row>
    <row r="109" spans="1:9" x14ac:dyDescent="0.2">
      <c r="A109" t="str">
        <f>"{ id: """&amp;MASTER!H110&amp;""""</f>
        <v>{ id: "109"</v>
      </c>
      <c r="B109" t="str">
        <f>" id2: """&amp;MASTER!G110&amp;""""</f>
        <v xml:space="preserve"> id2: ""</v>
      </c>
      <c r="C109" t="str">
        <f>" name: """&amp;MASTER!B110&amp;""""</f>
        <v xml:space="preserve"> name: "Koffing"</v>
      </c>
      <c r="D109" t="str">
        <f t="shared" si="2"/>
        <v xml:space="preserve"> img: "koffing.gif"</v>
      </c>
      <c r="E109" t="str">
        <f>" type1: """&amp;MASTER!C110&amp;""""</f>
        <v xml:space="preserve"> type1: "Poison"</v>
      </c>
      <c r="F109" t="str">
        <f>" type2: """&amp;MASTER!D110&amp;""""</f>
        <v xml:space="preserve"> type2: ""</v>
      </c>
      <c r="G109" t="str">
        <f>" location: """&amp;_xlfn.TEXTJOIN(" ",1,TRIM(MASTER!M110))&amp;""""</f>
        <v xml:space="preserve"> location: "None"</v>
      </c>
      <c r="H109" t="e">
        <f>" evolve: """&amp;MASTER!#REF!&amp;""" }"</f>
        <v>#REF!</v>
      </c>
      <c r="I109" s="25" t="e">
        <f t="shared" si="3"/>
        <v>#REF!</v>
      </c>
    </row>
    <row r="110" spans="1:9" x14ac:dyDescent="0.2">
      <c r="A110" t="str">
        <f>"{ id: """&amp;MASTER!H111&amp;""""</f>
        <v>{ id: "110"</v>
      </c>
      <c r="B110" t="str">
        <f>" id2: """&amp;MASTER!G111&amp;""""</f>
        <v xml:space="preserve"> id2: ""</v>
      </c>
      <c r="C110" t="str">
        <f>" name: """&amp;MASTER!B111&amp;""""</f>
        <v xml:space="preserve"> name: "Weezing"</v>
      </c>
      <c r="D110" t="str">
        <f t="shared" si="2"/>
        <v xml:space="preserve"> img: "weezing.gif"</v>
      </c>
      <c r="E110" t="str">
        <f>" type1: """&amp;MASTER!C111&amp;""""</f>
        <v xml:space="preserve"> type1: "Poison"</v>
      </c>
      <c r="F110" t="str">
        <f>" type2: """&amp;MASTER!D111&amp;""""</f>
        <v xml:space="preserve"> type2: ""</v>
      </c>
      <c r="G110" t="str">
        <f>" location: """&amp;_xlfn.TEXTJOIN(" ",1,TRIM(MASTER!M111))&amp;""""</f>
        <v xml:space="preserve"> location: "Swampy Cave 👣"</v>
      </c>
      <c r="H110" t="e">
        <f>" evolve: """&amp;MASTER!#REF!&amp;""" }"</f>
        <v>#REF!</v>
      </c>
      <c r="I110" s="25" t="e">
        <f t="shared" si="3"/>
        <v>#REF!</v>
      </c>
    </row>
    <row r="111" spans="1:9" x14ac:dyDescent="0.2">
      <c r="A111" t="str">
        <f>"{ id: """&amp;MASTER!H112&amp;""""</f>
        <v>{ id: "111"</v>
      </c>
      <c r="B111" t="str">
        <f>" id2: """&amp;MASTER!G112&amp;""""</f>
        <v xml:space="preserve"> id2: ""</v>
      </c>
      <c r="C111" t="str">
        <f>" name: """&amp;MASTER!B112&amp;""""</f>
        <v xml:space="preserve"> name: "Rhyhorn"</v>
      </c>
      <c r="D111" t="str">
        <f t="shared" si="2"/>
        <v xml:space="preserve"> img: "rhyhorn.gif"</v>
      </c>
      <c r="E111" t="str">
        <f>" type1: """&amp;MASTER!C112&amp;""""</f>
        <v xml:space="preserve"> type1: "Ground"</v>
      </c>
      <c r="F111" t="str">
        <f>" type2: """&amp;MASTER!D112&amp;""""</f>
        <v xml:space="preserve"> type2: "Rock"</v>
      </c>
      <c r="G111" t="str">
        <f>" location: """&amp;_xlfn.TEXTJOIN(" ",1,TRIM(MASTER!M112))&amp;""""</f>
        <v xml:space="preserve"> location: "Spacious Cave 👣"</v>
      </c>
      <c r="H111" t="e">
        <f>" evolve: """&amp;MASTER!#REF!&amp;""" }"</f>
        <v>#REF!</v>
      </c>
      <c r="I111" s="25" t="e">
        <f t="shared" si="3"/>
        <v>#REF!</v>
      </c>
    </row>
    <row r="112" spans="1:9" x14ac:dyDescent="0.2">
      <c r="A112" t="str">
        <f>"{ id: """&amp;MASTER!H113&amp;""""</f>
        <v>{ id: "112"</v>
      </c>
      <c r="B112" t="str">
        <f>" id2: """&amp;MASTER!G113&amp;""""</f>
        <v xml:space="preserve"> id2: ""</v>
      </c>
      <c r="C112" t="str">
        <f>" name: """&amp;MASTER!B113&amp;""""</f>
        <v xml:space="preserve"> name: "Rhydon"</v>
      </c>
      <c r="D112" t="str">
        <f t="shared" si="2"/>
        <v xml:space="preserve"> img: "rhydon.gif"</v>
      </c>
      <c r="E112" t="str">
        <f>" type1: """&amp;MASTER!C113&amp;""""</f>
        <v xml:space="preserve"> type1: "Ground"</v>
      </c>
      <c r="F112" t="str">
        <f>" type2: """&amp;MASTER!D113&amp;""""</f>
        <v xml:space="preserve"> type2: "Rock"</v>
      </c>
      <c r="G112" t="str">
        <f>" location: """&amp;_xlfn.TEXTJOIN(" ",1,TRIM(MASTER!M113))&amp;""""</f>
        <v xml:space="preserve"> location: "Spacious Cave 👣"</v>
      </c>
      <c r="H112" t="e">
        <f>" evolve: """&amp;MASTER!#REF!&amp;""" }"</f>
        <v>#REF!</v>
      </c>
      <c r="I112" s="25" t="e">
        <f t="shared" si="3"/>
        <v>#REF!</v>
      </c>
    </row>
    <row r="113" spans="1:9" x14ac:dyDescent="0.2">
      <c r="A113" t="str">
        <f>"{ id: """&amp;MASTER!H114&amp;""""</f>
        <v>{ id: "113"</v>
      </c>
      <c r="B113" t="str">
        <f>" id2: """&amp;MASTER!G114&amp;""""</f>
        <v xml:space="preserve"> id2: "097"</v>
      </c>
      <c r="C113" t="str">
        <f>" name: """&amp;MASTER!B114&amp;""""</f>
        <v xml:space="preserve"> name: "Chansey"</v>
      </c>
      <c r="D113" t="str">
        <f t="shared" si="2"/>
        <v xml:space="preserve"> img: "chansey.gif"</v>
      </c>
      <c r="E113" t="str">
        <f>" type1: """&amp;MASTER!C114&amp;""""</f>
        <v xml:space="preserve"> type1: "Normal"</v>
      </c>
      <c r="F113" t="str">
        <f>" type2: """&amp;MASTER!D114&amp;""""</f>
        <v xml:space="preserve"> type2: ""</v>
      </c>
      <c r="G113" t="str">
        <f>" location: """&amp;_xlfn.TEXTJOIN(" ",1,TRIM(MASTER!M114))&amp;""""</f>
        <v xml:space="preserve"> location: "Route 209 👣 4%"</v>
      </c>
      <c r="H113" t="e">
        <f>" evolve: """&amp;MASTER!#REF!&amp;""" }"</f>
        <v>#REF!</v>
      </c>
      <c r="I113" s="25" t="e">
        <f t="shared" si="3"/>
        <v>#REF!</v>
      </c>
    </row>
    <row r="114" spans="1:9" x14ac:dyDescent="0.2">
      <c r="A114" t="str">
        <f>"{ id: """&amp;MASTER!H115&amp;""""</f>
        <v>{ id: "114"</v>
      </c>
      <c r="B114" t="str">
        <f>" id2: """&amp;MASTER!G115&amp;""""</f>
        <v xml:space="preserve"> id2: ""</v>
      </c>
      <c r="C114" t="str">
        <f>" name: """&amp;MASTER!B115&amp;""""</f>
        <v xml:space="preserve"> name: "Tangela"</v>
      </c>
      <c r="D114" t="str">
        <f t="shared" si="2"/>
        <v xml:space="preserve"> img: "tangela.gif"</v>
      </c>
      <c r="E114" t="str">
        <f>" type1: """&amp;MASTER!C115&amp;""""</f>
        <v xml:space="preserve"> type1: "Grass"</v>
      </c>
      <c r="F114" t="str">
        <f>" type2: """&amp;MASTER!D115&amp;""""</f>
        <v xml:space="preserve"> type2: ""</v>
      </c>
      <c r="G114" t="str">
        <f>" location: """&amp;_xlfn.TEXTJOIN(" ",1,TRIM(MASTER!M115))&amp;""""</f>
        <v xml:space="preserve"> location: "Swampy Cave 👣"</v>
      </c>
      <c r="H114" t="e">
        <f>" evolve: """&amp;MASTER!#REF!&amp;""" }"</f>
        <v>#REF!</v>
      </c>
      <c r="I114" s="25" t="e">
        <f t="shared" si="3"/>
        <v>#REF!</v>
      </c>
    </row>
    <row r="115" spans="1:9" x14ac:dyDescent="0.2">
      <c r="A115" t="str">
        <f>"{ id: """&amp;MASTER!H116&amp;""""</f>
        <v>{ id: "115"</v>
      </c>
      <c r="B115" t="str">
        <f>" id2: """&amp;MASTER!G116&amp;""""</f>
        <v xml:space="preserve"> id2: ""</v>
      </c>
      <c r="C115" t="str">
        <f>" name: """&amp;MASTER!B116&amp;""""</f>
        <v xml:space="preserve"> name: "Kangaskhan"</v>
      </c>
      <c r="D115" t="str">
        <f t="shared" si="2"/>
        <v xml:space="preserve"> img: "kangaskhan.gif"</v>
      </c>
      <c r="E115" t="str">
        <f>" type1: """&amp;MASTER!C116&amp;""""</f>
        <v xml:space="preserve"> type1: "Normal"</v>
      </c>
      <c r="F115" t="str">
        <f>" type2: """&amp;MASTER!D116&amp;""""</f>
        <v xml:space="preserve"> type2: ""</v>
      </c>
      <c r="G115" t="str">
        <f>" location: """&amp;_xlfn.TEXTJOIN(" ",1,TRIM(MASTER!M116))&amp;""""</f>
        <v xml:space="preserve"> location: "Great Marsh (Special) 👣 3%"</v>
      </c>
      <c r="H115" t="e">
        <f>" evolve: """&amp;MASTER!#REF!&amp;""" }"</f>
        <v>#REF!</v>
      </c>
      <c r="I115" s="25" t="e">
        <f t="shared" si="3"/>
        <v>#REF!</v>
      </c>
    </row>
    <row r="116" spans="1:9" x14ac:dyDescent="0.2">
      <c r="A116" t="str">
        <f>"{ id: """&amp;MASTER!H117&amp;""""</f>
        <v>{ id: "116"</v>
      </c>
      <c r="B116" t="str">
        <f>" id2: """&amp;MASTER!G117&amp;""""</f>
        <v xml:space="preserve"> id2: ""</v>
      </c>
      <c r="C116" t="str">
        <f>" name: """&amp;MASTER!B117&amp;""""</f>
        <v xml:space="preserve"> name: "Horsea"</v>
      </c>
      <c r="D116" t="str">
        <f t="shared" si="2"/>
        <v xml:space="preserve"> img: "horsea.gif"</v>
      </c>
      <c r="E116" t="str">
        <f>" type1: """&amp;MASTER!C117&amp;""""</f>
        <v xml:space="preserve"> type1: "Water"</v>
      </c>
      <c r="F116" t="str">
        <f>" type2: """&amp;MASTER!D117&amp;""""</f>
        <v xml:space="preserve"> type2: ""</v>
      </c>
      <c r="G116" t="str">
        <f>" location: """&amp;_xlfn.TEXTJOIN(" ",1,TRIM(MASTER!M117))&amp;""""</f>
        <v xml:space="preserve"> location: "Fountainspring Cave 👣"</v>
      </c>
      <c r="H116" t="e">
        <f>" evolve: """&amp;MASTER!#REF!&amp;""" }"</f>
        <v>#REF!</v>
      </c>
      <c r="I116" s="25" t="e">
        <f t="shared" si="3"/>
        <v>#REF!</v>
      </c>
    </row>
    <row r="117" spans="1:9" x14ac:dyDescent="0.2">
      <c r="A117" t="str">
        <f>"{ id: """&amp;MASTER!H118&amp;""""</f>
        <v>{ id: "117"</v>
      </c>
      <c r="B117" t="str">
        <f>" id2: """&amp;MASTER!G118&amp;""""</f>
        <v xml:space="preserve"> id2: ""</v>
      </c>
      <c r="C117" t="str">
        <f>" name: """&amp;MASTER!B118&amp;""""</f>
        <v xml:space="preserve"> name: "Seadra"</v>
      </c>
      <c r="D117" t="str">
        <f t="shared" si="2"/>
        <v xml:space="preserve"> img: "seadra.gif"</v>
      </c>
      <c r="E117" t="str">
        <f>" type1: """&amp;MASTER!C118&amp;""""</f>
        <v xml:space="preserve"> type1: "Water"</v>
      </c>
      <c r="F117" t="str">
        <f>" type2: """&amp;MASTER!D118&amp;""""</f>
        <v xml:space="preserve"> type2: ""</v>
      </c>
      <c r="G117" t="str">
        <f>" location: """&amp;_xlfn.TEXTJOIN(" ",1,TRIM(MASTER!M118))&amp;""""</f>
        <v xml:space="preserve"> location: "Route 226 🎣"</v>
      </c>
      <c r="H117" t="e">
        <f>" evolve: """&amp;MASTER!#REF!&amp;""" }"</f>
        <v>#REF!</v>
      </c>
      <c r="I117" s="25" t="e">
        <f t="shared" si="3"/>
        <v>#REF!</v>
      </c>
    </row>
    <row r="118" spans="1:9" x14ac:dyDescent="0.2">
      <c r="A118" t="str">
        <f>"{ id: """&amp;MASTER!H119&amp;""""</f>
        <v>{ id: "118"</v>
      </c>
      <c r="B118" t="str">
        <f>" id2: """&amp;MASTER!G119&amp;""""</f>
        <v xml:space="preserve"> id2: "078"</v>
      </c>
      <c r="C118" t="str">
        <f>" name: """&amp;MASTER!B119&amp;""""</f>
        <v xml:space="preserve"> name: "Goldeen"</v>
      </c>
      <c r="D118" t="str">
        <f t="shared" si="2"/>
        <v xml:space="preserve"> img: "goldeen.gif"</v>
      </c>
      <c r="E118" t="str">
        <f>" type1: """&amp;MASTER!C119&amp;""""</f>
        <v xml:space="preserve"> type1: "Water"</v>
      </c>
      <c r="F118" t="str">
        <f>" type2: """&amp;MASTER!D119&amp;""""</f>
        <v xml:space="preserve"> type2: ""</v>
      </c>
      <c r="G118" t="str">
        <f>" location: """&amp;_xlfn.TEXTJOIN(" ",1,TRIM(MASTER!M119))&amp;""""</f>
        <v xml:space="preserve"> location: "Route 203 🎣 Good"</v>
      </c>
      <c r="H118" t="e">
        <f>" evolve: """&amp;MASTER!#REF!&amp;""" }"</f>
        <v>#REF!</v>
      </c>
      <c r="I118" s="25" t="e">
        <f t="shared" si="3"/>
        <v>#REF!</v>
      </c>
    </row>
    <row r="119" spans="1:9" x14ac:dyDescent="0.2">
      <c r="A119" t="str">
        <f>"{ id: """&amp;MASTER!H120&amp;""""</f>
        <v>{ id: "119"</v>
      </c>
      <c r="B119" t="str">
        <f>" id2: """&amp;MASTER!G120&amp;""""</f>
        <v xml:space="preserve"> id2: "079"</v>
      </c>
      <c r="C119" t="str">
        <f>" name: """&amp;MASTER!B120&amp;""""</f>
        <v xml:space="preserve"> name: "Seaking"</v>
      </c>
      <c r="D119" t="str">
        <f t="shared" si="2"/>
        <v xml:space="preserve"> img: "seaking.gif"</v>
      </c>
      <c r="E119" t="str">
        <f>" type1: """&amp;MASTER!C120&amp;""""</f>
        <v xml:space="preserve"> type1: "Water"</v>
      </c>
      <c r="F119" t="str">
        <f>" type2: """&amp;MASTER!D120&amp;""""</f>
        <v xml:space="preserve"> type2: ""</v>
      </c>
      <c r="G119" t="str">
        <f>" location: """&amp;_xlfn.TEXTJOIN(" ",1,TRIM(MASTER!M120))&amp;""""</f>
        <v xml:space="preserve"> location: "Route 203 🎣 Super"</v>
      </c>
      <c r="H119" t="e">
        <f>" evolve: """&amp;MASTER!#REF!&amp;""" }"</f>
        <v>#REF!</v>
      </c>
      <c r="I119" s="25" t="e">
        <f t="shared" si="3"/>
        <v>#REF!</v>
      </c>
    </row>
    <row r="120" spans="1:9" x14ac:dyDescent="0.2">
      <c r="A120" t="str">
        <f>"{ id: """&amp;MASTER!H121&amp;""""</f>
        <v>{ id: "120"</v>
      </c>
      <c r="B120" t="str">
        <f>" id2: """&amp;MASTER!G121&amp;""""</f>
        <v xml:space="preserve"> id2: ""</v>
      </c>
      <c r="C120" t="str">
        <f>" name: """&amp;MASTER!B121&amp;""""</f>
        <v xml:space="preserve"> name: "Staryu"</v>
      </c>
      <c r="D120" t="str">
        <f t="shared" si="2"/>
        <v xml:space="preserve"> img: "staryu.gif"</v>
      </c>
      <c r="E120" t="str">
        <f>" type1: """&amp;MASTER!C121&amp;""""</f>
        <v xml:space="preserve"> type1: "Water"</v>
      </c>
      <c r="F120" t="str">
        <f>" type2: """&amp;MASTER!D121&amp;""""</f>
        <v xml:space="preserve"> type2: ""</v>
      </c>
      <c r="G120" t="str">
        <f>" location: """&amp;_xlfn.TEXTJOIN(" ",1,TRIM(MASTER!M121))&amp;""""</f>
        <v xml:space="preserve"> location: "Fountainspring Cave 👣"</v>
      </c>
      <c r="H120" t="e">
        <f>" evolve: """&amp;MASTER!#REF!&amp;""" }"</f>
        <v>#REF!</v>
      </c>
      <c r="I120" s="25" t="e">
        <f t="shared" si="3"/>
        <v>#REF!</v>
      </c>
    </row>
    <row r="121" spans="1:9" x14ac:dyDescent="0.2">
      <c r="A121" t="str">
        <f>"{ id: """&amp;MASTER!H122&amp;""""</f>
        <v>{ id: "121"</v>
      </c>
      <c r="B121" t="str">
        <f>" id2: """&amp;MASTER!G122&amp;""""</f>
        <v xml:space="preserve"> id2: ""</v>
      </c>
      <c r="C121" t="str">
        <f>" name: """&amp;MASTER!B122&amp;""""</f>
        <v xml:space="preserve"> name: "Starmie"</v>
      </c>
      <c r="D121" t="str">
        <f t="shared" si="2"/>
        <v xml:space="preserve"> img: "starmie.gif"</v>
      </c>
      <c r="E121" t="str">
        <f>" type1: """&amp;MASTER!C122&amp;""""</f>
        <v xml:space="preserve"> type1: "Water"</v>
      </c>
      <c r="F121" t="str">
        <f>" type2: """&amp;MASTER!D122&amp;""""</f>
        <v xml:space="preserve"> type2: "Psychic"</v>
      </c>
      <c r="G121" t="str">
        <f>" location: """&amp;_xlfn.TEXTJOIN(" ",1,TRIM(MASTER!M122))&amp;""""</f>
        <v xml:space="preserve"> location: "None"</v>
      </c>
      <c r="H121" t="e">
        <f>" evolve: """&amp;MASTER!#REF!&amp;""" }"</f>
        <v>#REF!</v>
      </c>
      <c r="I121" s="25" t="e">
        <f t="shared" si="3"/>
        <v>#REF!</v>
      </c>
    </row>
    <row r="122" spans="1:9" x14ac:dyDescent="0.2">
      <c r="A122" t="str">
        <f>"{ id: """&amp;MASTER!H123&amp;""""</f>
        <v>{ id: "122"</v>
      </c>
      <c r="B122" t="str">
        <f>" id2: """&amp;MASTER!G123&amp;""""</f>
        <v xml:space="preserve"> id2: "095"</v>
      </c>
      <c r="C122" t="str">
        <f>" name: """&amp;MASTER!B123&amp;""""</f>
        <v xml:space="preserve"> name: "Mr. Mime"</v>
      </c>
      <c r="D122" t="str">
        <f t="shared" si="2"/>
        <v xml:space="preserve"> img: "mr. mime.gif"</v>
      </c>
      <c r="E122" t="str">
        <f>" type1: """&amp;MASTER!C123&amp;""""</f>
        <v xml:space="preserve"> type1: "Psychic"</v>
      </c>
      <c r="F122" t="str">
        <f>" type2: """&amp;MASTER!D123&amp;""""</f>
        <v xml:space="preserve"> type2: "Fairy"</v>
      </c>
      <c r="G122" t="str">
        <f>" location: """&amp;_xlfn.TEXTJOIN(" ",1,TRIM(MASTER!M123))&amp;""""</f>
        <v xml:space="preserve"> location: "Route 218 👣 4% 💎only"</v>
      </c>
      <c r="H122" t="e">
        <f>" evolve: """&amp;MASTER!#REF!&amp;""" }"</f>
        <v>#REF!</v>
      </c>
      <c r="I122" s="25" t="e">
        <f t="shared" si="3"/>
        <v>#REF!</v>
      </c>
    </row>
    <row r="123" spans="1:9" x14ac:dyDescent="0.2">
      <c r="A123" t="str">
        <f>"{ id: """&amp;MASTER!H124&amp;""""</f>
        <v>{ id: "123"</v>
      </c>
      <c r="B123" t="str">
        <f>" id2: """&amp;MASTER!G124&amp;""""</f>
        <v xml:space="preserve"> id2: ""</v>
      </c>
      <c r="C123" t="str">
        <f>" name: """&amp;MASTER!B124&amp;""""</f>
        <v xml:space="preserve"> name: "Scyther"</v>
      </c>
      <c r="D123" t="str">
        <f t="shared" si="2"/>
        <v xml:space="preserve"> img: "scyther.gif"</v>
      </c>
      <c r="E123" t="str">
        <f>" type1: """&amp;MASTER!C124&amp;""""</f>
        <v xml:space="preserve"> type1: "Bug"</v>
      </c>
      <c r="F123" t="str">
        <f>" type2: """&amp;MASTER!D124&amp;""""</f>
        <v xml:space="preserve"> type2: "Flying"</v>
      </c>
      <c r="G123" t="str">
        <f>" location: """&amp;_xlfn.TEXTJOIN(" ",1,TRIM(MASTER!M124))&amp;""""</f>
        <v xml:space="preserve"> location: "Grassland Cave 👣 💎only"</v>
      </c>
      <c r="H123" t="e">
        <f>" evolve: """&amp;MASTER!#REF!&amp;""" }"</f>
        <v>#REF!</v>
      </c>
      <c r="I123" s="25" t="e">
        <f t="shared" si="3"/>
        <v>#REF!</v>
      </c>
    </row>
    <row r="124" spans="1:9" x14ac:dyDescent="0.2">
      <c r="A124" t="str">
        <f>"{ id: """&amp;MASTER!H125&amp;""""</f>
        <v>{ id: "124"</v>
      </c>
      <c r="B124" t="str">
        <f>" id2: """&amp;MASTER!G125&amp;""""</f>
        <v xml:space="preserve"> id2: ""</v>
      </c>
      <c r="C124" t="str">
        <f>" name: """&amp;MASTER!B125&amp;""""</f>
        <v xml:space="preserve"> name: "Jynx"</v>
      </c>
      <c r="D124" t="str">
        <f t="shared" si="2"/>
        <v xml:space="preserve"> img: "jynx.gif"</v>
      </c>
      <c r="E124" t="str">
        <f>" type1: """&amp;MASTER!C125&amp;""""</f>
        <v xml:space="preserve"> type1: "Ice"</v>
      </c>
      <c r="F124" t="str">
        <f>" type2: """&amp;MASTER!D125&amp;""""</f>
        <v xml:space="preserve"> type2: "Psychic"</v>
      </c>
      <c r="G124" t="str">
        <f>" location: """&amp;_xlfn.TEXTJOIN(" ",1,TRIM(MASTER!M125))&amp;""""</f>
        <v xml:space="preserve"> location: "None"</v>
      </c>
      <c r="H124" t="e">
        <f>" evolve: """&amp;MASTER!#REF!&amp;""" }"</f>
        <v>#REF!</v>
      </c>
      <c r="I124" s="25" t="e">
        <f t="shared" si="3"/>
        <v>#REF!</v>
      </c>
    </row>
    <row r="125" spans="1:9" x14ac:dyDescent="0.2">
      <c r="A125" t="str">
        <f>"{ id: """&amp;MASTER!H126&amp;""""</f>
        <v>{ id: "125"</v>
      </c>
      <c r="B125" t="str">
        <f>" id2: """&amp;MASTER!G126&amp;""""</f>
        <v xml:space="preserve"> id2: ""</v>
      </c>
      <c r="C125" t="str">
        <f>" name: """&amp;MASTER!B126&amp;""""</f>
        <v xml:space="preserve"> name: "Electabuzz"</v>
      </c>
      <c r="D125" t="str">
        <f t="shared" si="2"/>
        <v xml:space="preserve"> img: "electabuzz.gif"</v>
      </c>
      <c r="E125" t="str">
        <f>" type1: """&amp;MASTER!C126&amp;""""</f>
        <v xml:space="preserve"> type1: "Electric"</v>
      </c>
      <c r="F125" t="str">
        <f>" type2: """&amp;MASTER!D126&amp;""""</f>
        <v xml:space="preserve"> type2: ""</v>
      </c>
      <c r="G125" t="str">
        <f>" location: """&amp;_xlfn.TEXTJOIN(" ",1,TRIM(MASTER!M126))&amp;""""</f>
        <v xml:space="preserve"> location: "None"</v>
      </c>
      <c r="H125" t="e">
        <f>" evolve: """&amp;MASTER!#REF!&amp;""" }"</f>
        <v>#REF!</v>
      </c>
      <c r="I125" s="25" t="e">
        <f t="shared" si="3"/>
        <v>#REF!</v>
      </c>
    </row>
    <row r="126" spans="1:9" x14ac:dyDescent="0.2">
      <c r="A126" t="str">
        <f>"{ id: """&amp;MASTER!H127&amp;""""</f>
        <v>{ id: "126"</v>
      </c>
      <c r="B126" t="str">
        <f>" id2: """&amp;MASTER!G127&amp;""""</f>
        <v xml:space="preserve"> id2: ""</v>
      </c>
      <c r="C126" t="str">
        <f>" name: """&amp;MASTER!B127&amp;""""</f>
        <v xml:space="preserve"> name: "Magmar"</v>
      </c>
      <c r="D126" t="str">
        <f t="shared" si="2"/>
        <v xml:space="preserve"> img: "magmar.gif"</v>
      </c>
      <c r="E126" t="str">
        <f>" type1: """&amp;MASTER!C127&amp;""""</f>
        <v xml:space="preserve"> type1: "Fire"</v>
      </c>
      <c r="F126" t="str">
        <f>" type2: """&amp;MASTER!D127&amp;""""</f>
        <v xml:space="preserve"> type2: ""</v>
      </c>
      <c r="G126" t="str">
        <f>" location: """&amp;_xlfn.TEXTJOIN(" ",1,TRIM(MASTER!M127))&amp;""""</f>
        <v xml:space="preserve"> location: "None"</v>
      </c>
      <c r="H126" t="e">
        <f>" evolve: """&amp;MASTER!#REF!&amp;""" }"</f>
        <v>#REF!</v>
      </c>
      <c r="I126" s="25" t="e">
        <f t="shared" si="3"/>
        <v>#REF!</v>
      </c>
    </row>
    <row r="127" spans="1:9" x14ac:dyDescent="0.2">
      <c r="A127" t="str">
        <f>"{ id: """&amp;MASTER!H128&amp;""""</f>
        <v>{ id: "127"</v>
      </c>
      <c r="B127" t="str">
        <f>" id2: """&amp;MASTER!G128&amp;""""</f>
        <v xml:space="preserve"> id2: ""</v>
      </c>
      <c r="C127" t="str">
        <f>" name: """&amp;MASTER!B128&amp;""""</f>
        <v xml:space="preserve"> name: "Pinsir"</v>
      </c>
      <c r="D127" t="str">
        <f t="shared" si="2"/>
        <v xml:space="preserve"> img: "pinsir.gif"</v>
      </c>
      <c r="E127" t="str">
        <f>" type1: """&amp;MASTER!C128&amp;""""</f>
        <v xml:space="preserve"> type1: "Bug"</v>
      </c>
      <c r="F127" t="str">
        <f>" type2: """&amp;MASTER!D128&amp;""""</f>
        <v xml:space="preserve"> type2: ""</v>
      </c>
      <c r="G127" t="str">
        <f>" location: """&amp;_xlfn.TEXTJOIN(" ",1,TRIM(MASTER!M128))&amp;""""</f>
        <v xml:space="preserve"> location: "Grassland Cave 👣 ⚪only"</v>
      </c>
      <c r="H127" t="e">
        <f>" evolve: """&amp;MASTER!#REF!&amp;""" }"</f>
        <v>#REF!</v>
      </c>
      <c r="I127" s="25" t="e">
        <f t="shared" si="3"/>
        <v>#REF!</v>
      </c>
    </row>
    <row r="128" spans="1:9" x14ac:dyDescent="0.2">
      <c r="A128" t="str">
        <f>"{ id: """&amp;MASTER!H129&amp;""""</f>
        <v>{ id: "128"</v>
      </c>
      <c r="B128" t="str">
        <f>" id2: """&amp;MASTER!G129&amp;""""</f>
        <v xml:space="preserve"> id2: ""</v>
      </c>
      <c r="C128" t="str">
        <f>" name: """&amp;MASTER!B129&amp;""""</f>
        <v xml:space="preserve"> name: "Tauros"</v>
      </c>
      <c r="D128" t="str">
        <f t="shared" si="2"/>
        <v xml:space="preserve"> img: "tauros.gif"</v>
      </c>
      <c r="E128" t="str">
        <f>" type1: """&amp;MASTER!C129&amp;""""</f>
        <v xml:space="preserve"> type1: "Normal"</v>
      </c>
      <c r="F128" t="str">
        <f>" type2: """&amp;MASTER!D129&amp;""""</f>
        <v xml:space="preserve"> type2: ""</v>
      </c>
      <c r="G128" t="str">
        <f>" location: """&amp;_xlfn.TEXTJOIN(" ",1,TRIM(MASTER!M129))&amp;""""</f>
        <v xml:space="preserve"> location: "Spacious Cave 👣"</v>
      </c>
      <c r="H128" t="e">
        <f>" evolve: """&amp;MASTER!#REF!&amp;""" }"</f>
        <v>#REF!</v>
      </c>
      <c r="I128" s="25" t="e">
        <f t="shared" si="3"/>
        <v>#REF!</v>
      </c>
    </row>
    <row r="129" spans="1:9" x14ac:dyDescent="0.2">
      <c r="A129" t="str">
        <f>"{ id: """&amp;MASTER!H130&amp;""""</f>
        <v>{ id: "129"</v>
      </c>
      <c r="B129" t="str">
        <f>" id2: """&amp;MASTER!G130&amp;""""</f>
        <v xml:space="preserve"> id2: "023"</v>
      </c>
      <c r="C129" t="str">
        <f>" name: """&amp;MASTER!B130&amp;""""</f>
        <v xml:space="preserve"> name: "Magikarp"</v>
      </c>
      <c r="D129" t="str">
        <f t="shared" si="2"/>
        <v xml:space="preserve"> img: "magikarp.gif"</v>
      </c>
      <c r="E129" t="str">
        <f>" type1: """&amp;MASTER!C130&amp;""""</f>
        <v xml:space="preserve"> type1: "Water"</v>
      </c>
      <c r="F129" t="str">
        <f>" type2: """&amp;MASTER!D130&amp;""""</f>
        <v xml:space="preserve"> type2: ""</v>
      </c>
      <c r="G129" t="str">
        <f>" location: """&amp;_xlfn.TEXTJOIN(" ",1,TRIM(MASTER!M130))&amp;""""</f>
        <v xml:space="preserve"> location: "Route 203 🎣 Old"</v>
      </c>
      <c r="H129" t="e">
        <f>" evolve: """&amp;MASTER!#REF!&amp;""" }"</f>
        <v>#REF!</v>
      </c>
      <c r="I129" s="25" t="e">
        <f t="shared" si="3"/>
        <v>#REF!</v>
      </c>
    </row>
    <row r="130" spans="1:9" x14ac:dyDescent="0.2">
      <c r="A130" t="str">
        <f>"{ id: """&amp;MASTER!H131&amp;""""</f>
        <v>{ id: "130"</v>
      </c>
      <c r="B130" t="str">
        <f>" id2: """&amp;MASTER!G131&amp;""""</f>
        <v xml:space="preserve"> id2: "024"</v>
      </c>
      <c r="C130" t="str">
        <f>" name: """&amp;MASTER!B131&amp;""""</f>
        <v xml:space="preserve"> name: "Gyarados"</v>
      </c>
      <c r="D130" t="str">
        <f t="shared" ref="D130:D193" si="4">" img: """&amp;LOWER(MID(C130,9,LEN(C130)-9))&amp;".gif"""</f>
        <v xml:space="preserve"> img: "gyarados.gif"</v>
      </c>
      <c r="E130" t="str">
        <f>" type1: """&amp;MASTER!C131&amp;""""</f>
        <v xml:space="preserve"> type1: "Water"</v>
      </c>
      <c r="F130" t="str">
        <f>" type2: """&amp;MASTER!D131&amp;""""</f>
        <v xml:space="preserve"> type2: "Flying"</v>
      </c>
      <c r="G130" t="str">
        <f>" location: """&amp;_xlfn.TEXTJOIN(" ",1,TRIM(MASTER!M131))&amp;""""</f>
        <v xml:space="preserve"> location: "Route 203 🎣 Super"</v>
      </c>
      <c r="H130" t="e">
        <f>" evolve: """&amp;MASTER!#REF!&amp;""" }"</f>
        <v>#REF!</v>
      </c>
      <c r="I130" s="25" t="e">
        <f t="shared" ref="I130:I193" si="5">_xlfn.TEXTJOIN(",",1,A130:H130)&amp;","</f>
        <v>#REF!</v>
      </c>
    </row>
    <row r="131" spans="1:9" x14ac:dyDescent="0.2">
      <c r="A131" t="str">
        <f>"{ id: """&amp;MASTER!H132&amp;""""</f>
        <v>{ id: "131"</v>
      </c>
      <c r="B131" t="str">
        <f>" id2: """&amp;MASTER!G132&amp;""""</f>
        <v xml:space="preserve"> id2: ""</v>
      </c>
      <c r="C131" t="str">
        <f>" name: """&amp;MASTER!B132&amp;""""</f>
        <v xml:space="preserve"> name: "Lapras"</v>
      </c>
      <c r="D131" t="str">
        <f t="shared" si="4"/>
        <v xml:space="preserve"> img: "lapras.gif"</v>
      </c>
      <c r="E131" t="str">
        <f>" type1: """&amp;MASTER!C132&amp;""""</f>
        <v xml:space="preserve"> type1: "Water"</v>
      </c>
      <c r="F131" t="str">
        <f>" type2: """&amp;MASTER!D132&amp;""""</f>
        <v xml:space="preserve"> type2: "Ice"</v>
      </c>
      <c r="G131" t="str">
        <f>" location: """&amp;_xlfn.TEXTJOIN(" ",1,TRIM(MASTER!M132))&amp;""""</f>
        <v xml:space="preserve"> location: "Victory Road 1F Back 2 🌊 10%"</v>
      </c>
      <c r="H131" t="e">
        <f>" evolve: """&amp;MASTER!#REF!&amp;""" }"</f>
        <v>#REF!</v>
      </c>
      <c r="I131" s="25" t="e">
        <f t="shared" si="5"/>
        <v>#REF!</v>
      </c>
    </row>
    <row r="132" spans="1:9" x14ac:dyDescent="0.2">
      <c r="A132" t="str">
        <f>"{ id: """&amp;MASTER!H133&amp;""""</f>
        <v>{ id: "132"</v>
      </c>
      <c r="B132" t="str">
        <f>" id2: """&amp;MASTER!G133&amp;""""</f>
        <v xml:space="preserve"> id2: ""</v>
      </c>
      <c r="C132" t="str">
        <f>" name: """&amp;MASTER!B133&amp;""""</f>
        <v xml:space="preserve"> name: "Ditto"</v>
      </c>
      <c r="D132" t="str">
        <f t="shared" si="4"/>
        <v xml:space="preserve"> img: "ditto.gif"</v>
      </c>
      <c r="E132" t="str">
        <f>" type1: """&amp;MASTER!C133&amp;""""</f>
        <v xml:space="preserve"> type1: "Normal"</v>
      </c>
      <c r="F132" t="str">
        <f>" type2: """&amp;MASTER!D133&amp;""""</f>
        <v xml:space="preserve"> type2: ""</v>
      </c>
      <c r="G132" t="str">
        <f>" location: """&amp;_xlfn.TEXTJOIN(" ",1,TRIM(MASTER!M133))&amp;""""</f>
        <v xml:space="preserve"> location: "Dazzling Cave 👣"</v>
      </c>
      <c r="H132" t="e">
        <f>" evolve: """&amp;MASTER!#REF!&amp;""" }"</f>
        <v>#REF!</v>
      </c>
      <c r="I132" s="25" t="e">
        <f t="shared" si="5"/>
        <v>#REF!</v>
      </c>
    </row>
    <row r="133" spans="1:9" x14ac:dyDescent="0.2">
      <c r="A133" t="str">
        <f>"{ id: """&amp;MASTER!H134&amp;""""</f>
        <v>{ id: "133"</v>
      </c>
      <c r="B133" t="str">
        <f>" id2: """&amp;MASTER!G134&amp;""""</f>
        <v xml:space="preserve"> id2: ""</v>
      </c>
      <c r="C133" t="str">
        <f>" name: """&amp;MASTER!B134&amp;""""</f>
        <v xml:space="preserve"> name: "Eevee"</v>
      </c>
      <c r="D133" t="str">
        <f t="shared" si="4"/>
        <v xml:space="preserve"> img: "eevee.gif"</v>
      </c>
      <c r="E133" t="str">
        <f>" type1: """&amp;MASTER!C134&amp;""""</f>
        <v xml:space="preserve"> type1: "Normal"</v>
      </c>
      <c r="F133" t="str">
        <f>" type2: """&amp;MASTER!D134&amp;""""</f>
        <v xml:space="preserve"> type2: ""</v>
      </c>
      <c r="G133" t="str">
        <f>" location: """&amp;_xlfn.TEXTJOIN(" ",1,TRIM(MASTER!M134))&amp;""""</f>
        <v xml:space="preserve"> location: "Trophy Garden (Special) 👣&lt;br&gt;Hearthome City 🎁"</v>
      </c>
      <c r="H133" t="e">
        <f>" evolve: """&amp;MASTER!#REF!&amp;""" }"</f>
        <v>#REF!</v>
      </c>
      <c r="I133" s="25" t="e">
        <f t="shared" si="5"/>
        <v>#REF!</v>
      </c>
    </row>
    <row r="134" spans="1:9" x14ac:dyDescent="0.2">
      <c r="A134" t="str">
        <f>"{ id: """&amp;MASTER!H135&amp;""""</f>
        <v>{ id: "134"</v>
      </c>
      <c r="B134" t="str">
        <f>" id2: """&amp;MASTER!G135&amp;""""</f>
        <v xml:space="preserve"> id2: ""</v>
      </c>
      <c r="C134" t="str">
        <f>" name: """&amp;MASTER!B135&amp;""""</f>
        <v xml:space="preserve"> name: "Vaporeon"</v>
      </c>
      <c r="D134" t="str">
        <f t="shared" si="4"/>
        <v xml:space="preserve"> img: "vaporeon.gif"</v>
      </c>
      <c r="E134" t="str">
        <f>" type1: """&amp;MASTER!C135&amp;""""</f>
        <v xml:space="preserve"> type1: "Water"</v>
      </c>
      <c r="F134" t="str">
        <f>" type2: """&amp;MASTER!D135&amp;""""</f>
        <v xml:space="preserve"> type2: ""</v>
      </c>
      <c r="G134" t="str">
        <f>" location: """&amp;_xlfn.TEXTJOIN(" ",1,TRIM(MASTER!M135))&amp;""""</f>
        <v xml:space="preserve"> location: "None"</v>
      </c>
      <c r="H134" t="e">
        <f>" evolve: """&amp;MASTER!#REF!&amp;""" }"</f>
        <v>#REF!</v>
      </c>
      <c r="I134" s="25" t="e">
        <f t="shared" si="5"/>
        <v>#REF!</v>
      </c>
    </row>
    <row r="135" spans="1:9" x14ac:dyDescent="0.2">
      <c r="A135" t="str">
        <f>"{ id: """&amp;MASTER!H136&amp;""""</f>
        <v>{ id: "135"</v>
      </c>
      <c r="B135" t="str">
        <f>" id2: """&amp;MASTER!G136&amp;""""</f>
        <v xml:space="preserve"> id2: ""</v>
      </c>
      <c r="C135" t="str">
        <f>" name: """&amp;MASTER!B136&amp;""""</f>
        <v xml:space="preserve"> name: "Jolteon"</v>
      </c>
      <c r="D135" t="str">
        <f t="shared" si="4"/>
        <v xml:space="preserve"> img: "jolteon.gif"</v>
      </c>
      <c r="E135" t="str">
        <f>" type1: """&amp;MASTER!C136&amp;""""</f>
        <v xml:space="preserve"> type1: "Electric"</v>
      </c>
      <c r="F135" t="str">
        <f>" type2: """&amp;MASTER!D136&amp;""""</f>
        <v xml:space="preserve"> type2: ""</v>
      </c>
      <c r="G135" t="str">
        <f>" location: """&amp;_xlfn.TEXTJOIN(" ",1,TRIM(MASTER!M136))&amp;""""</f>
        <v xml:space="preserve"> location: "None"</v>
      </c>
      <c r="H135" t="e">
        <f>" evolve: """&amp;MASTER!#REF!&amp;""" }"</f>
        <v>#REF!</v>
      </c>
      <c r="I135" s="25" t="e">
        <f t="shared" si="5"/>
        <v>#REF!</v>
      </c>
    </row>
    <row r="136" spans="1:9" x14ac:dyDescent="0.2">
      <c r="A136" t="str">
        <f>"{ id: """&amp;MASTER!H137&amp;""""</f>
        <v>{ id: "136"</v>
      </c>
      <c r="B136" t="str">
        <f>" id2: """&amp;MASTER!G137&amp;""""</f>
        <v xml:space="preserve"> id2: ""</v>
      </c>
      <c r="C136" t="str">
        <f>" name: """&amp;MASTER!B137&amp;""""</f>
        <v xml:space="preserve"> name: "Flareon"</v>
      </c>
      <c r="D136" t="str">
        <f t="shared" si="4"/>
        <v xml:space="preserve"> img: "flareon.gif"</v>
      </c>
      <c r="E136" t="str">
        <f>" type1: """&amp;MASTER!C137&amp;""""</f>
        <v xml:space="preserve"> type1: "Fire"</v>
      </c>
      <c r="F136" t="str">
        <f>" type2: """&amp;MASTER!D137&amp;""""</f>
        <v xml:space="preserve"> type2: ""</v>
      </c>
      <c r="G136" t="str">
        <f>" location: """&amp;_xlfn.TEXTJOIN(" ",1,TRIM(MASTER!M137))&amp;""""</f>
        <v xml:space="preserve"> location: "None"</v>
      </c>
      <c r="H136" t="e">
        <f>" evolve: """&amp;MASTER!#REF!&amp;""" }"</f>
        <v>#REF!</v>
      </c>
      <c r="I136" s="25" t="e">
        <f t="shared" si="5"/>
        <v>#REF!</v>
      </c>
    </row>
    <row r="137" spans="1:9" x14ac:dyDescent="0.2">
      <c r="A137" t="str">
        <f>"{ id: """&amp;MASTER!H138&amp;""""</f>
        <v>{ id: "137"</v>
      </c>
      <c r="B137" t="str">
        <f>" id2: """&amp;MASTER!G138&amp;""""</f>
        <v xml:space="preserve"> id2: ""</v>
      </c>
      <c r="C137" t="str">
        <f>" name: """&amp;MASTER!B138&amp;""""</f>
        <v xml:space="preserve"> name: "Porygon"</v>
      </c>
      <c r="D137" t="str">
        <f t="shared" si="4"/>
        <v xml:space="preserve"> img: "porygon.gif"</v>
      </c>
      <c r="E137" t="str">
        <f>" type1: """&amp;MASTER!C138&amp;""""</f>
        <v xml:space="preserve"> type1: "Normal"</v>
      </c>
      <c r="F137" t="str">
        <f>" type2: """&amp;MASTER!D138&amp;""""</f>
        <v xml:space="preserve"> type2: ""</v>
      </c>
      <c r="G137" t="str">
        <f>" location: """&amp;_xlfn.TEXTJOIN(" ",1,TRIM(MASTER!M138))&amp;""""</f>
        <v xml:space="preserve"> location: "Trophy Garden (Special) 👣"</v>
      </c>
      <c r="H137" t="e">
        <f>" evolve: """&amp;MASTER!#REF!&amp;""" }"</f>
        <v>#REF!</v>
      </c>
      <c r="I137" s="25" t="e">
        <f t="shared" si="5"/>
        <v>#REF!</v>
      </c>
    </row>
    <row r="138" spans="1:9" x14ac:dyDescent="0.2">
      <c r="A138" t="str">
        <f>"{ id: """&amp;MASTER!H139&amp;""""</f>
        <v>{ id: "138"</v>
      </c>
      <c r="B138" t="str">
        <f>" id2: """&amp;MASTER!G139&amp;""""</f>
        <v xml:space="preserve"> id2: ""</v>
      </c>
      <c r="C138" t="str">
        <f>" name: """&amp;MASTER!B139&amp;""""</f>
        <v xml:space="preserve"> name: "Omanyte"</v>
      </c>
      <c r="D138" t="str">
        <f t="shared" si="4"/>
        <v xml:space="preserve"> img: "omanyte.gif"</v>
      </c>
      <c r="E138" t="str">
        <f>" type1: """&amp;MASTER!C139&amp;""""</f>
        <v xml:space="preserve"> type1: "Rock"</v>
      </c>
      <c r="F138" t="str">
        <f>" type2: """&amp;MASTER!D139&amp;""""</f>
        <v xml:space="preserve"> type2: "Water"</v>
      </c>
      <c r="G138" t="str">
        <f>" location: """&amp;_xlfn.TEXTJOIN(" ",1,TRIM(MASTER!M139))&amp;""""</f>
        <v xml:space="preserve"> location: "Oreburgh Museum (Helix Fossil)"</v>
      </c>
      <c r="H138" t="e">
        <f>" evolve: """&amp;MASTER!#REF!&amp;""" }"</f>
        <v>#REF!</v>
      </c>
      <c r="I138" s="25" t="e">
        <f t="shared" si="5"/>
        <v>#REF!</v>
      </c>
    </row>
    <row r="139" spans="1:9" x14ac:dyDescent="0.2">
      <c r="A139" t="str">
        <f>"{ id: """&amp;MASTER!H140&amp;""""</f>
        <v>{ id: "139"</v>
      </c>
      <c r="B139" t="str">
        <f>" id2: """&amp;MASTER!G140&amp;""""</f>
        <v xml:space="preserve"> id2: ""</v>
      </c>
      <c r="C139" t="str">
        <f>" name: """&amp;MASTER!B140&amp;""""</f>
        <v xml:space="preserve"> name: "Omastar"</v>
      </c>
      <c r="D139" t="str">
        <f t="shared" si="4"/>
        <v xml:space="preserve"> img: "omastar.gif"</v>
      </c>
      <c r="E139" t="str">
        <f>" type1: """&amp;MASTER!C140&amp;""""</f>
        <v xml:space="preserve"> type1: "Rock"</v>
      </c>
      <c r="F139" t="str">
        <f>" type2: """&amp;MASTER!D140&amp;""""</f>
        <v xml:space="preserve"> type2: "Water"</v>
      </c>
      <c r="G139" t="str">
        <f>" location: """&amp;_xlfn.TEXTJOIN(" ",1,TRIM(MASTER!M140))&amp;""""</f>
        <v xml:space="preserve"> location: "None"</v>
      </c>
      <c r="H139" t="e">
        <f>" evolve: """&amp;MASTER!#REF!&amp;""" }"</f>
        <v>#REF!</v>
      </c>
      <c r="I139" s="25" t="e">
        <f t="shared" si="5"/>
        <v>#REF!</v>
      </c>
    </row>
    <row r="140" spans="1:9" x14ac:dyDescent="0.2">
      <c r="A140" t="str">
        <f>"{ id: """&amp;MASTER!H141&amp;""""</f>
        <v>{ id: "140"</v>
      </c>
      <c r="B140" t="str">
        <f>" id2: """&amp;MASTER!G141&amp;""""</f>
        <v xml:space="preserve"> id2: ""</v>
      </c>
      <c r="C140" t="str">
        <f>" name: """&amp;MASTER!B141&amp;""""</f>
        <v xml:space="preserve"> name: "Kabuto"</v>
      </c>
      <c r="D140" t="str">
        <f t="shared" si="4"/>
        <v xml:space="preserve"> img: "kabuto.gif"</v>
      </c>
      <c r="E140" t="str">
        <f>" type1: """&amp;MASTER!C141&amp;""""</f>
        <v xml:space="preserve"> type1: "Rock"</v>
      </c>
      <c r="F140" t="str">
        <f>" type2: """&amp;MASTER!D141&amp;""""</f>
        <v xml:space="preserve"> type2: "Water"</v>
      </c>
      <c r="G140" t="str">
        <f>" location: """&amp;_xlfn.TEXTJOIN(" ",1,TRIM(MASTER!M141))&amp;""""</f>
        <v xml:space="preserve"> location: "Oreburgh Museum (Dome Fossil)"</v>
      </c>
      <c r="H140" t="e">
        <f>" evolve: """&amp;MASTER!#REF!&amp;""" }"</f>
        <v>#REF!</v>
      </c>
      <c r="I140" s="25" t="e">
        <f t="shared" si="5"/>
        <v>#REF!</v>
      </c>
    </row>
    <row r="141" spans="1:9" x14ac:dyDescent="0.2">
      <c r="A141" t="str">
        <f>"{ id: """&amp;MASTER!H142&amp;""""</f>
        <v>{ id: "141"</v>
      </c>
      <c r="B141" t="str">
        <f>" id2: """&amp;MASTER!G142&amp;""""</f>
        <v xml:space="preserve"> id2: ""</v>
      </c>
      <c r="C141" t="str">
        <f>" name: """&amp;MASTER!B142&amp;""""</f>
        <v xml:space="preserve"> name: "Kabutops"</v>
      </c>
      <c r="D141" t="str">
        <f t="shared" si="4"/>
        <v xml:space="preserve"> img: "kabutops.gif"</v>
      </c>
      <c r="E141" t="str">
        <f>" type1: """&amp;MASTER!C142&amp;""""</f>
        <v xml:space="preserve"> type1: "Rock"</v>
      </c>
      <c r="F141" t="str">
        <f>" type2: """&amp;MASTER!D142&amp;""""</f>
        <v xml:space="preserve"> type2: "Water"</v>
      </c>
      <c r="G141" t="str">
        <f>" location: """&amp;_xlfn.TEXTJOIN(" ",1,TRIM(MASTER!M142))&amp;""""</f>
        <v xml:space="preserve"> location: "None"</v>
      </c>
      <c r="H141" t="e">
        <f>" evolve: """&amp;MASTER!#REF!&amp;""" }"</f>
        <v>#REF!</v>
      </c>
      <c r="I141" s="25" t="e">
        <f t="shared" si="5"/>
        <v>#REF!</v>
      </c>
    </row>
    <row r="142" spans="1:9" x14ac:dyDescent="0.2">
      <c r="A142" t="str">
        <f>"{ id: """&amp;MASTER!H143&amp;""""</f>
        <v>{ id: "142"</v>
      </c>
      <c r="B142" t="str">
        <f>" id2: """&amp;MASTER!G143&amp;""""</f>
        <v xml:space="preserve"> id2: ""</v>
      </c>
      <c r="C142" t="str">
        <f>" name: """&amp;MASTER!B143&amp;""""</f>
        <v xml:space="preserve"> name: "Aerodactyl"</v>
      </c>
      <c r="D142" t="str">
        <f t="shared" si="4"/>
        <v xml:space="preserve"> img: "aerodactyl.gif"</v>
      </c>
      <c r="E142" t="str">
        <f>" type1: """&amp;MASTER!C143&amp;""""</f>
        <v xml:space="preserve"> type1: "Rock"</v>
      </c>
      <c r="F142" t="str">
        <f>" type2: """&amp;MASTER!D143&amp;""""</f>
        <v xml:space="preserve"> type2: "Flying"</v>
      </c>
      <c r="G142" t="str">
        <f>" location: """&amp;_xlfn.TEXTJOIN(" ",1,TRIM(MASTER!M143))&amp;""""</f>
        <v xml:space="preserve"> location: "Oreburgh Museum (Old Amber) 👣"</v>
      </c>
      <c r="H142" t="e">
        <f>" evolve: """&amp;MASTER!#REF!&amp;""" }"</f>
        <v>#REF!</v>
      </c>
      <c r="I142" s="25" t="e">
        <f t="shared" si="5"/>
        <v>#REF!</v>
      </c>
    </row>
    <row r="143" spans="1:9" x14ac:dyDescent="0.2">
      <c r="A143" t="str">
        <f>"{ id: """&amp;MASTER!H144&amp;""""</f>
        <v>{ id: "143"</v>
      </c>
      <c r="B143" t="str">
        <f>" id2: """&amp;MASTER!G144&amp;""""</f>
        <v xml:space="preserve"> id2: "113"</v>
      </c>
      <c r="C143" t="str">
        <f>" name: """&amp;MASTER!B144&amp;""""</f>
        <v xml:space="preserve"> name: "Snorlax"</v>
      </c>
      <c r="D143" t="str">
        <f t="shared" si="4"/>
        <v xml:space="preserve"> img: "snorlax.gif"</v>
      </c>
      <c r="E143" t="str">
        <f>" type1: """&amp;MASTER!C144&amp;""""</f>
        <v xml:space="preserve"> type1: "Normal"</v>
      </c>
      <c r="F143" t="str">
        <f>" type2: """&amp;MASTER!D144&amp;""""</f>
        <v xml:space="preserve"> type2: ""</v>
      </c>
      <c r="G143" t="str">
        <f>" location: """&amp;_xlfn.TEXTJOIN(" ",1,TRIM(MASTER!M144))&amp;""""</f>
        <v xml:space="preserve"> location: "None"</v>
      </c>
      <c r="H143" t="e">
        <f>" evolve: """&amp;MASTER!#REF!&amp;""" }"</f>
        <v>#REF!</v>
      </c>
      <c r="I143" s="25" t="e">
        <f t="shared" si="5"/>
        <v>#REF!</v>
      </c>
    </row>
    <row r="144" spans="1:9" x14ac:dyDescent="0.2">
      <c r="A144" t="str">
        <f>"{ id: """&amp;MASTER!H145&amp;""""</f>
        <v>{ id: "144"</v>
      </c>
      <c r="B144" t="str">
        <f>" id2: """&amp;MASTER!G145&amp;""""</f>
        <v xml:space="preserve"> id2: ""</v>
      </c>
      <c r="C144" t="str">
        <f>" name: """&amp;MASTER!B145&amp;""""</f>
        <v xml:space="preserve"> name: "Articuno"</v>
      </c>
      <c r="D144" t="str">
        <f t="shared" si="4"/>
        <v xml:space="preserve"> img: "articuno.gif"</v>
      </c>
      <c r="E144" t="str">
        <f>" type1: """&amp;MASTER!C145&amp;""""</f>
        <v xml:space="preserve"> type1: "Ice"</v>
      </c>
      <c r="F144" t="str">
        <f>" type2: """&amp;MASTER!D145&amp;""""</f>
        <v xml:space="preserve"> type2: "Flying"</v>
      </c>
      <c r="G144" t="str">
        <f>" location: """&amp;_xlfn.TEXTJOIN(" ",1,TRIM(MASTER!M145))&amp;""""</f>
        <v xml:space="preserve"> location: "Ramanas Park (Kanto) 📍 ⚪only"</v>
      </c>
      <c r="H144" t="e">
        <f>" evolve: """&amp;MASTER!#REF!&amp;""" }"</f>
        <v>#REF!</v>
      </c>
      <c r="I144" s="25" t="e">
        <f t="shared" si="5"/>
        <v>#REF!</v>
      </c>
    </row>
    <row r="145" spans="1:9" x14ac:dyDescent="0.2">
      <c r="A145" t="str">
        <f>"{ id: """&amp;MASTER!H146&amp;""""</f>
        <v>{ id: "145"</v>
      </c>
      <c r="B145" t="str">
        <f>" id2: """&amp;MASTER!G146&amp;""""</f>
        <v xml:space="preserve"> id2: ""</v>
      </c>
      <c r="C145" t="str">
        <f>" name: """&amp;MASTER!B146&amp;""""</f>
        <v xml:space="preserve"> name: "Zapdos"</v>
      </c>
      <c r="D145" t="str">
        <f t="shared" si="4"/>
        <v xml:space="preserve"> img: "zapdos.gif"</v>
      </c>
      <c r="E145" t="str">
        <f>" type1: """&amp;MASTER!C146&amp;""""</f>
        <v xml:space="preserve"> type1: "Electric"</v>
      </c>
      <c r="F145" t="str">
        <f>" type2: """&amp;MASTER!D146&amp;""""</f>
        <v xml:space="preserve"> type2: "Flying"</v>
      </c>
      <c r="G145" t="str">
        <f>" location: """&amp;_xlfn.TEXTJOIN(" ",1,TRIM(MASTER!M146))&amp;""""</f>
        <v xml:space="preserve"> location: "Ramanas Park (Kanto) 📍 ⚪only"</v>
      </c>
      <c r="H145" t="e">
        <f>" evolve: """&amp;MASTER!#REF!&amp;""" }"</f>
        <v>#REF!</v>
      </c>
      <c r="I145" s="25" t="e">
        <f t="shared" si="5"/>
        <v>#REF!</v>
      </c>
    </row>
    <row r="146" spans="1:9" x14ac:dyDescent="0.2">
      <c r="A146" t="str">
        <f>"{ id: """&amp;MASTER!H147&amp;""""</f>
        <v>{ id: "146"</v>
      </c>
      <c r="B146" t="str">
        <f>" id2: """&amp;MASTER!G147&amp;""""</f>
        <v xml:space="preserve"> id2: ""</v>
      </c>
      <c r="C146" t="str">
        <f>" name: """&amp;MASTER!B147&amp;""""</f>
        <v xml:space="preserve"> name: "Moltres"</v>
      </c>
      <c r="D146" t="str">
        <f t="shared" si="4"/>
        <v xml:space="preserve"> img: "moltres.gif"</v>
      </c>
      <c r="E146" t="str">
        <f>" type1: """&amp;MASTER!C147&amp;""""</f>
        <v xml:space="preserve"> type1: "Fire"</v>
      </c>
      <c r="F146" t="str">
        <f>" type2: """&amp;MASTER!D147&amp;""""</f>
        <v xml:space="preserve"> type2: "Flying"</v>
      </c>
      <c r="G146" t="str">
        <f>" location: """&amp;_xlfn.TEXTJOIN(" ",1,TRIM(MASTER!M147))&amp;""""</f>
        <v xml:space="preserve"> location: "Ramanas Park (Kanto) 📍 ⚪only"</v>
      </c>
      <c r="H146" t="e">
        <f>" evolve: """&amp;MASTER!#REF!&amp;""" }"</f>
        <v>#REF!</v>
      </c>
      <c r="I146" s="25" t="e">
        <f t="shared" si="5"/>
        <v>#REF!</v>
      </c>
    </row>
    <row r="147" spans="1:9" x14ac:dyDescent="0.2">
      <c r="A147" t="str">
        <f>"{ id: """&amp;MASTER!H148&amp;""""</f>
        <v>{ id: "147"</v>
      </c>
      <c r="B147" t="str">
        <f>" id2: """&amp;MASTER!G148&amp;""""</f>
        <v xml:space="preserve"> id2: ""</v>
      </c>
      <c r="C147" t="str">
        <f>" name: """&amp;MASTER!B148&amp;""""</f>
        <v xml:space="preserve"> name: "Dratini"</v>
      </c>
      <c r="D147" t="str">
        <f t="shared" si="4"/>
        <v xml:space="preserve"> img: "dratini.gif"</v>
      </c>
      <c r="E147" t="str">
        <f>" type1: """&amp;MASTER!C148&amp;""""</f>
        <v xml:space="preserve"> type1: "Dragon"</v>
      </c>
      <c r="F147" t="str">
        <f>" type2: """&amp;MASTER!D148&amp;""""</f>
        <v xml:space="preserve"> type2: ""</v>
      </c>
      <c r="G147" t="str">
        <f>" location: """&amp;_xlfn.TEXTJOIN(" ",1,TRIM(MASTER!M148))&amp;""""</f>
        <v xml:space="preserve"> location: "Fountainspring Cave 👣"</v>
      </c>
      <c r="H147" t="e">
        <f>" evolve: """&amp;MASTER!#REF!&amp;""" }"</f>
        <v>#REF!</v>
      </c>
      <c r="I147" s="25" t="e">
        <f t="shared" si="5"/>
        <v>#REF!</v>
      </c>
    </row>
    <row r="148" spans="1:9" x14ac:dyDescent="0.2">
      <c r="A148" t="str">
        <f>"{ id: """&amp;MASTER!H149&amp;""""</f>
        <v>{ id: "148"</v>
      </c>
      <c r="B148" t="str">
        <f>" id2: """&amp;MASTER!G149&amp;""""</f>
        <v xml:space="preserve"> id2: ""</v>
      </c>
      <c r="C148" t="str">
        <f>" name: """&amp;MASTER!B149&amp;""""</f>
        <v xml:space="preserve"> name: "Dragonair"</v>
      </c>
      <c r="D148" t="str">
        <f t="shared" si="4"/>
        <v xml:space="preserve"> img: "dragonair.gif"</v>
      </c>
      <c r="E148" t="str">
        <f>" type1: """&amp;MASTER!C149&amp;""""</f>
        <v xml:space="preserve"> type1: "Dragon"</v>
      </c>
      <c r="F148" t="str">
        <f>" type2: """&amp;MASTER!D149&amp;""""</f>
        <v xml:space="preserve"> type2: ""</v>
      </c>
      <c r="G148" t="str">
        <f>" location: """&amp;_xlfn.TEXTJOIN(" ",1,TRIM(MASTER!M149))&amp;""""</f>
        <v xml:space="preserve"> location: "Mt. Coronet 4F 🎣 5%"</v>
      </c>
      <c r="H148" t="e">
        <f>" evolve: """&amp;MASTER!#REF!&amp;""" }"</f>
        <v>#REF!</v>
      </c>
      <c r="I148" s="25" t="e">
        <f t="shared" si="5"/>
        <v>#REF!</v>
      </c>
    </row>
    <row r="149" spans="1:9" x14ac:dyDescent="0.2">
      <c r="A149" t="str">
        <f>"{ id: """&amp;MASTER!H150&amp;""""</f>
        <v>{ id: "149"</v>
      </c>
      <c r="B149" t="str">
        <f>" id2: """&amp;MASTER!G150&amp;""""</f>
        <v xml:space="preserve"> id2: ""</v>
      </c>
      <c r="C149" t="str">
        <f>" name: """&amp;MASTER!B150&amp;""""</f>
        <v xml:space="preserve"> name: "Dragonite"</v>
      </c>
      <c r="D149" t="str">
        <f t="shared" si="4"/>
        <v xml:space="preserve"> img: "dragonite.gif"</v>
      </c>
      <c r="E149" t="str">
        <f>" type1: """&amp;MASTER!C150&amp;""""</f>
        <v xml:space="preserve"> type1: "Dragon"</v>
      </c>
      <c r="F149" t="str">
        <f>" type2: """&amp;MASTER!D150&amp;""""</f>
        <v xml:space="preserve"> type2: "Flying"</v>
      </c>
      <c r="G149" t="str">
        <f>" location: """&amp;_xlfn.TEXTJOIN(" ",1,TRIM(MASTER!M150))&amp;""""</f>
        <v xml:space="preserve"> location: "None"</v>
      </c>
      <c r="H149" t="e">
        <f>" evolve: """&amp;MASTER!#REF!&amp;""" }"</f>
        <v>#REF!</v>
      </c>
      <c r="I149" s="25" t="e">
        <f t="shared" si="5"/>
        <v>#REF!</v>
      </c>
    </row>
    <row r="150" spans="1:9" x14ac:dyDescent="0.2">
      <c r="A150" t="str">
        <f>"{ id: """&amp;MASTER!H151&amp;""""</f>
        <v>{ id: "150"</v>
      </c>
      <c r="B150" t="str">
        <f>" id2: """&amp;MASTER!G151&amp;""""</f>
        <v xml:space="preserve"> id2: ""</v>
      </c>
      <c r="C150" t="str">
        <f>" name: """&amp;MASTER!B151&amp;""""</f>
        <v xml:space="preserve"> name: "Mewtwo"</v>
      </c>
      <c r="D150" t="str">
        <f t="shared" si="4"/>
        <v xml:space="preserve"> img: "mewtwo.gif"</v>
      </c>
      <c r="E150" t="str">
        <f>" type1: """&amp;MASTER!C151&amp;""""</f>
        <v xml:space="preserve"> type1: "Psychic"</v>
      </c>
      <c r="F150" t="str">
        <f>" type2: """&amp;MASTER!D151&amp;""""</f>
        <v xml:space="preserve"> type2: ""</v>
      </c>
      <c r="G150" t="str">
        <f>" location: """&amp;_xlfn.TEXTJOIN(" ",1,TRIM(MASTER!M151))&amp;""""</f>
        <v xml:space="preserve"> location: "Ramanas Park (Genome) 📍 ⚪only"</v>
      </c>
      <c r="H150" t="e">
        <f>" evolve: """&amp;MASTER!#REF!&amp;""" }"</f>
        <v>#REF!</v>
      </c>
      <c r="I150" s="25" t="e">
        <f t="shared" si="5"/>
        <v>#REF!</v>
      </c>
    </row>
    <row r="151" spans="1:9" x14ac:dyDescent="0.2">
      <c r="A151" t="str">
        <f>"{ id: """&amp;MASTER!H152&amp;""""</f>
        <v>{ id: "151"</v>
      </c>
      <c r="B151" t="str">
        <f>" id2: """&amp;MASTER!G152&amp;""""</f>
        <v xml:space="preserve"> id2: ""</v>
      </c>
      <c r="C151" t="str">
        <f>" name: """&amp;MASTER!B152&amp;""""</f>
        <v xml:space="preserve"> name: "Mew"</v>
      </c>
      <c r="D151" t="str">
        <f t="shared" si="4"/>
        <v xml:space="preserve"> img: "mew.gif"</v>
      </c>
      <c r="E151" t="str">
        <f>" type1: """&amp;MASTER!C152&amp;""""</f>
        <v xml:space="preserve"> type1: "Psychic"</v>
      </c>
      <c r="F151" t="str">
        <f>" type2: """&amp;MASTER!D152&amp;""""</f>
        <v xml:space="preserve"> type2: ""</v>
      </c>
      <c r="G151" t="str">
        <f>" location: """&amp;_xlfn.TEXTJOIN(" ",1,TRIM(MASTER!M152))&amp;""""</f>
        <v xml:space="preserve"> location: "Floaroma Town 🎁"</v>
      </c>
      <c r="H151" t="e">
        <f>" evolve: """&amp;MASTER!#REF!&amp;""" }"</f>
        <v>#REF!</v>
      </c>
      <c r="I151" s="25" t="e">
        <f t="shared" si="5"/>
        <v>#REF!</v>
      </c>
    </row>
    <row r="152" spans="1:9" x14ac:dyDescent="0.2">
      <c r="A152" t="str">
        <f>"{ id: """&amp;MASTER!H153&amp;""""</f>
        <v>{ id: "152"</v>
      </c>
      <c r="B152" t="str">
        <f>" id2: """&amp;MASTER!G153&amp;""""</f>
        <v xml:space="preserve"> id2: ""</v>
      </c>
      <c r="C152" t="str">
        <f>" name: """&amp;MASTER!B153&amp;""""</f>
        <v xml:space="preserve"> name: "Chikorita"</v>
      </c>
      <c r="D152" t="str">
        <f t="shared" si="4"/>
        <v xml:space="preserve"> img: "chikorita.gif"</v>
      </c>
      <c r="E152" t="str">
        <f>" type1: """&amp;MASTER!C153&amp;""""</f>
        <v xml:space="preserve"> type1: "Grass"</v>
      </c>
      <c r="F152" t="str">
        <f>" type2: """&amp;MASTER!D153&amp;""""</f>
        <v xml:space="preserve"> type2: ""</v>
      </c>
      <c r="G152" t="str">
        <f>" location: """&amp;_xlfn.TEXTJOIN(" ",1,TRIM(MASTER!M153))&amp;""""</f>
        <v xml:space="preserve"> location: "Grassland Cave 👣"</v>
      </c>
      <c r="H152" t="e">
        <f>" evolve: """&amp;MASTER!#REF!&amp;""" }"</f>
        <v>#REF!</v>
      </c>
      <c r="I152" s="25" t="e">
        <f t="shared" si="5"/>
        <v>#REF!</v>
      </c>
    </row>
    <row r="153" spans="1:9" x14ac:dyDescent="0.2">
      <c r="A153" t="str">
        <f>"{ id: """&amp;MASTER!H154&amp;""""</f>
        <v>{ id: "153"</v>
      </c>
      <c r="B153" t="str">
        <f>" id2: """&amp;MASTER!G154&amp;""""</f>
        <v xml:space="preserve"> id2: ""</v>
      </c>
      <c r="C153" t="str">
        <f>" name: """&amp;MASTER!B154&amp;""""</f>
        <v xml:space="preserve"> name: "Bayleef"</v>
      </c>
      <c r="D153" t="str">
        <f t="shared" si="4"/>
        <v xml:space="preserve"> img: "bayleef.gif"</v>
      </c>
      <c r="E153" t="str">
        <f>" type1: """&amp;MASTER!C154&amp;""""</f>
        <v xml:space="preserve"> type1: "Grass"</v>
      </c>
      <c r="F153" t="str">
        <f>" type2: """&amp;MASTER!D154&amp;""""</f>
        <v xml:space="preserve"> type2: ""</v>
      </c>
      <c r="G153" t="str">
        <f>" location: """&amp;_xlfn.TEXTJOIN(" ",1,TRIM(MASTER!M154))&amp;""""</f>
        <v xml:space="preserve"> location: "None"</v>
      </c>
      <c r="H153" t="e">
        <f>" evolve: """&amp;MASTER!#REF!&amp;""" }"</f>
        <v>#REF!</v>
      </c>
      <c r="I153" s="25" t="e">
        <f t="shared" si="5"/>
        <v>#REF!</v>
      </c>
    </row>
    <row r="154" spans="1:9" x14ac:dyDescent="0.2">
      <c r="A154" t="str">
        <f>"{ id: """&amp;MASTER!H155&amp;""""</f>
        <v>{ id: "154"</v>
      </c>
      <c r="B154" t="str">
        <f>" id2: """&amp;MASTER!G155&amp;""""</f>
        <v xml:space="preserve"> id2: ""</v>
      </c>
      <c r="C154" t="str">
        <f>" name: """&amp;MASTER!B155&amp;""""</f>
        <v xml:space="preserve"> name: "Meganium"</v>
      </c>
      <c r="D154" t="str">
        <f t="shared" si="4"/>
        <v xml:space="preserve"> img: "meganium.gif"</v>
      </c>
      <c r="E154" t="str">
        <f>" type1: """&amp;MASTER!C155&amp;""""</f>
        <v xml:space="preserve"> type1: "Grass"</v>
      </c>
      <c r="F154" t="str">
        <f>" type2: """&amp;MASTER!D155&amp;""""</f>
        <v xml:space="preserve"> type2: ""</v>
      </c>
      <c r="G154" t="str">
        <f>" location: """&amp;_xlfn.TEXTJOIN(" ",1,TRIM(MASTER!M155))&amp;""""</f>
        <v xml:space="preserve"> location: "None"</v>
      </c>
      <c r="H154" t="e">
        <f>" evolve: """&amp;MASTER!#REF!&amp;""" }"</f>
        <v>#REF!</v>
      </c>
      <c r="I154" s="25" t="e">
        <f t="shared" si="5"/>
        <v>#REF!</v>
      </c>
    </row>
    <row r="155" spans="1:9" x14ac:dyDescent="0.2">
      <c r="A155" t="str">
        <f>"{ id: """&amp;MASTER!H156&amp;""""</f>
        <v>{ id: "155"</v>
      </c>
      <c r="B155" t="str">
        <f>" id2: """&amp;MASTER!G156&amp;""""</f>
        <v xml:space="preserve"> id2: ""</v>
      </c>
      <c r="C155" t="str">
        <f>" name: """&amp;MASTER!B156&amp;""""</f>
        <v xml:space="preserve"> name: "Cyndaquil"</v>
      </c>
      <c r="D155" t="str">
        <f t="shared" si="4"/>
        <v xml:space="preserve"> img: "cyndaquil.gif"</v>
      </c>
      <c r="E155" t="str">
        <f>" type1: """&amp;MASTER!C156&amp;""""</f>
        <v xml:space="preserve"> type1: "Fire"</v>
      </c>
      <c r="F155" t="str">
        <f>" type2: """&amp;MASTER!D156&amp;""""</f>
        <v xml:space="preserve"> type2: ""</v>
      </c>
      <c r="G155" t="str">
        <f>" location: """&amp;_xlfn.TEXTJOIN(" ",1,TRIM(MASTER!M156))&amp;""""</f>
        <v xml:space="preserve"> location: "Volcanic Cave 👣"</v>
      </c>
      <c r="H155" t="e">
        <f>" evolve: """&amp;MASTER!#REF!&amp;""" }"</f>
        <v>#REF!</v>
      </c>
      <c r="I155" s="25" t="e">
        <f t="shared" si="5"/>
        <v>#REF!</v>
      </c>
    </row>
    <row r="156" spans="1:9" x14ac:dyDescent="0.2">
      <c r="A156" t="str">
        <f>"{ id: """&amp;MASTER!H157&amp;""""</f>
        <v>{ id: "156"</v>
      </c>
      <c r="B156" t="str">
        <f>" id2: """&amp;MASTER!G157&amp;""""</f>
        <v xml:space="preserve"> id2: ""</v>
      </c>
      <c r="C156" t="str">
        <f>" name: """&amp;MASTER!B157&amp;""""</f>
        <v xml:space="preserve"> name: "Quilava"</v>
      </c>
      <c r="D156" t="str">
        <f t="shared" si="4"/>
        <v xml:space="preserve"> img: "quilava.gif"</v>
      </c>
      <c r="E156" t="str">
        <f>" type1: """&amp;MASTER!C157&amp;""""</f>
        <v xml:space="preserve"> type1: "Fire"</v>
      </c>
      <c r="F156" t="str">
        <f>" type2: """&amp;MASTER!D157&amp;""""</f>
        <v xml:space="preserve"> type2: ""</v>
      </c>
      <c r="G156" t="str">
        <f>" location: """&amp;_xlfn.TEXTJOIN(" ",1,TRIM(MASTER!M157))&amp;""""</f>
        <v xml:space="preserve"> location: "None 👣"</v>
      </c>
      <c r="H156" t="e">
        <f>" evolve: """&amp;MASTER!#REF!&amp;""" }"</f>
        <v>#REF!</v>
      </c>
      <c r="I156" s="25" t="e">
        <f t="shared" si="5"/>
        <v>#REF!</v>
      </c>
    </row>
    <row r="157" spans="1:9" x14ac:dyDescent="0.2">
      <c r="A157" t="str">
        <f>"{ id: """&amp;MASTER!H158&amp;""""</f>
        <v>{ id: "157"</v>
      </c>
      <c r="B157" t="str">
        <f>" id2: """&amp;MASTER!G158&amp;""""</f>
        <v xml:space="preserve"> id2: ""</v>
      </c>
      <c r="C157" t="str">
        <f>" name: """&amp;MASTER!B158&amp;""""</f>
        <v xml:space="preserve"> name: "Typhlosion"</v>
      </c>
      <c r="D157" t="str">
        <f t="shared" si="4"/>
        <v xml:space="preserve"> img: "typhlosion.gif"</v>
      </c>
      <c r="E157" t="str">
        <f>" type1: """&amp;MASTER!C158&amp;""""</f>
        <v xml:space="preserve"> type1: "Fire"</v>
      </c>
      <c r="F157" t="str">
        <f>" type2: """&amp;MASTER!D158&amp;""""</f>
        <v xml:space="preserve"> type2: ""</v>
      </c>
      <c r="G157" t="str">
        <f>" location: """&amp;_xlfn.TEXTJOIN(" ",1,TRIM(MASTER!M158))&amp;""""</f>
        <v xml:space="preserve"> location: "None 👣"</v>
      </c>
      <c r="H157" t="e">
        <f>" evolve: """&amp;MASTER!#REF!&amp;""" }"</f>
        <v>#REF!</v>
      </c>
      <c r="I157" s="25" t="e">
        <f t="shared" si="5"/>
        <v>#REF!</v>
      </c>
    </row>
    <row r="158" spans="1:9" x14ac:dyDescent="0.2">
      <c r="A158" t="str">
        <f>"{ id: """&amp;MASTER!H159&amp;""""</f>
        <v>{ id: "158"</v>
      </c>
      <c r="B158" t="str">
        <f>" id2: """&amp;MASTER!G159&amp;""""</f>
        <v xml:space="preserve"> id2: ""</v>
      </c>
      <c r="C158" t="str">
        <f>" name: """&amp;MASTER!B159&amp;""""</f>
        <v xml:space="preserve"> name: "Totodile"</v>
      </c>
      <c r="D158" t="str">
        <f t="shared" si="4"/>
        <v xml:space="preserve"> img: "totodile.gif"</v>
      </c>
      <c r="E158" t="str">
        <f>" type1: """&amp;MASTER!C159&amp;""""</f>
        <v xml:space="preserve"> type1: "Water"</v>
      </c>
      <c r="F158" t="str">
        <f>" type2: """&amp;MASTER!D159&amp;""""</f>
        <v xml:space="preserve"> type2: ""</v>
      </c>
      <c r="G158" t="str">
        <f>" location: """&amp;_xlfn.TEXTJOIN(" ",1,TRIM(MASTER!M159))&amp;""""</f>
        <v xml:space="preserve"> location: "Fountainspring Cave 👣"</v>
      </c>
      <c r="H158" t="e">
        <f>" evolve: """&amp;MASTER!#REF!&amp;""" }"</f>
        <v>#REF!</v>
      </c>
      <c r="I158" s="25" t="e">
        <f t="shared" si="5"/>
        <v>#REF!</v>
      </c>
    </row>
    <row r="159" spans="1:9" x14ac:dyDescent="0.2">
      <c r="A159" t="str">
        <f>"{ id: """&amp;MASTER!H160&amp;""""</f>
        <v>{ id: "159"</v>
      </c>
      <c r="B159" t="str">
        <f>" id2: """&amp;MASTER!G160&amp;""""</f>
        <v xml:space="preserve"> id2: ""</v>
      </c>
      <c r="C159" t="str">
        <f>" name: """&amp;MASTER!B160&amp;""""</f>
        <v xml:space="preserve"> name: "Croconaw"</v>
      </c>
      <c r="D159" t="str">
        <f t="shared" si="4"/>
        <v xml:space="preserve"> img: "croconaw.gif"</v>
      </c>
      <c r="E159" t="str">
        <f>" type1: """&amp;MASTER!C160&amp;""""</f>
        <v xml:space="preserve"> type1: "Water"</v>
      </c>
      <c r="F159" t="str">
        <f>" type2: """&amp;MASTER!D160&amp;""""</f>
        <v xml:space="preserve"> type2: ""</v>
      </c>
      <c r="G159" t="str">
        <f>" location: """&amp;_xlfn.TEXTJOIN(" ",1,TRIM(MASTER!M160))&amp;""""</f>
        <v xml:space="preserve"> location: "None 👣"</v>
      </c>
      <c r="H159" t="e">
        <f>" evolve: """&amp;MASTER!#REF!&amp;""" }"</f>
        <v>#REF!</v>
      </c>
      <c r="I159" s="25" t="e">
        <f t="shared" si="5"/>
        <v>#REF!</v>
      </c>
    </row>
    <row r="160" spans="1:9" x14ac:dyDescent="0.2">
      <c r="A160" t="str">
        <f>"{ id: """&amp;MASTER!H161&amp;""""</f>
        <v>{ id: "160"</v>
      </c>
      <c r="B160" t="str">
        <f>" id2: """&amp;MASTER!G161&amp;""""</f>
        <v xml:space="preserve"> id2: ""</v>
      </c>
      <c r="C160" t="str">
        <f>" name: """&amp;MASTER!B161&amp;""""</f>
        <v xml:space="preserve"> name: "Feraligatr"</v>
      </c>
      <c r="D160" t="str">
        <f t="shared" si="4"/>
        <v xml:space="preserve"> img: "feraligatr.gif"</v>
      </c>
      <c r="E160" t="str">
        <f>" type1: """&amp;MASTER!C161&amp;""""</f>
        <v xml:space="preserve"> type1: "Water"</v>
      </c>
      <c r="F160" t="str">
        <f>" type2: """&amp;MASTER!D161&amp;""""</f>
        <v xml:space="preserve"> type2: ""</v>
      </c>
      <c r="G160" t="str">
        <f>" location: """&amp;_xlfn.TEXTJOIN(" ",1,TRIM(MASTER!M161))&amp;""""</f>
        <v xml:space="preserve"> location: "None 👣"</v>
      </c>
      <c r="H160" t="e">
        <f>" evolve: """&amp;MASTER!#REF!&amp;""" }"</f>
        <v>#REF!</v>
      </c>
      <c r="I160" s="25" t="e">
        <f t="shared" si="5"/>
        <v>#REF!</v>
      </c>
    </row>
    <row r="161" spans="1:9" x14ac:dyDescent="0.2">
      <c r="A161" t="str">
        <f>"{ id: """&amp;MASTER!H162&amp;""""</f>
        <v>{ id: "161"</v>
      </c>
      <c r="B161" t="str">
        <f>" id2: """&amp;MASTER!G162&amp;""""</f>
        <v xml:space="preserve"> id2: ""</v>
      </c>
      <c r="C161" t="str">
        <f>" name: """&amp;MASTER!B162&amp;""""</f>
        <v xml:space="preserve"> name: "Sentret"</v>
      </c>
      <c r="D161" t="str">
        <f t="shared" si="4"/>
        <v xml:space="preserve"> img: "sentret.gif"</v>
      </c>
      <c r="E161" t="str">
        <f>" type1: """&amp;MASTER!C162&amp;""""</f>
        <v xml:space="preserve"> type1: "Normal"</v>
      </c>
      <c r="F161" t="str">
        <f>" type2: """&amp;MASTER!D162&amp;""""</f>
        <v xml:space="preserve"> type2: ""</v>
      </c>
      <c r="G161" t="str">
        <f>" location: """&amp;_xlfn.TEXTJOIN(" ",1,TRIM(MASTER!M162))&amp;""""</f>
        <v xml:space="preserve"> location: "Spacious Cave 👣"</v>
      </c>
      <c r="H161" t="e">
        <f>" evolve: """&amp;MASTER!#REF!&amp;""" }"</f>
        <v>#REF!</v>
      </c>
      <c r="I161" s="25" t="e">
        <f t="shared" si="5"/>
        <v>#REF!</v>
      </c>
    </row>
    <row r="162" spans="1:9" x14ac:dyDescent="0.2">
      <c r="A162" t="str">
        <f>"{ id: """&amp;MASTER!H163&amp;""""</f>
        <v>{ id: "162"</v>
      </c>
      <c r="B162" t="str">
        <f>" id2: """&amp;MASTER!G163&amp;""""</f>
        <v xml:space="preserve"> id2: ""</v>
      </c>
      <c r="C162" t="str">
        <f>" name: """&amp;MASTER!B163&amp;""""</f>
        <v xml:space="preserve"> name: "Furret"</v>
      </c>
      <c r="D162" t="str">
        <f t="shared" si="4"/>
        <v xml:space="preserve"> img: "furret.gif"</v>
      </c>
      <c r="E162" t="str">
        <f>" type1: """&amp;MASTER!C163&amp;""""</f>
        <v xml:space="preserve"> type1: "Normal"</v>
      </c>
      <c r="F162" t="str">
        <f>" type2: """&amp;MASTER!D163&amp;""""</f>
        <v xml:space="preserve"> type2: ""</v>
      </c>
      <c r="G162" t="str">
        <f>" location: """&amp;_xlfn.TEXTJOIN(" ",1,TRIM(MASTER!M163))&amp;""""</f>
        <v xml:space="preserve"> location: "Spacious Cave 👣"</v>
      </c>
      <c r="H162" t="e">
        <f>" evolve: """&amp;MASTER!#REF!&amp;""" }"</f>
        <v>#REF!</v>
      </c>
      <c r="I162" s="25" t="e">
        <f t="shared" si="5"/>
        <v>#REF!</v>
      </c>
    </row>
    <row r="163" spans="1:9" x14ac:dyDescent="0.2">
      <c r="A163" t="str">
        <f>"{ id: """&amp;MASTER!H164&amp;""""</f>
        <v>{ id: "163"</v>
      </c>
      <c r="B163" t="str">
        <f>" id2: """&amp;MASTER!G164&amp;""""</f>
        <v xml:space="preserve"> id2: "106"</v>
      </c>
      <c r="C163" t="str">
        <f>" name: """&amp;MASTER!B164&amp;""""</f>
        <v xml:space="preserve"> name: "Hoothoot"</v>
      </c>
      <c r="D163" t="str">
        <f t="shared" si="4"/>
        <v xml:space="preserve"> img: "hoothoot.gif"</v>
      </c>
      <c r="E163" t="str">
        <f>" type1: """&amp;MASTER!C164&amp;""""</f>
        <v xml:space="preserve"> type1: "Normal"</v>
      </c>
      <c r="F163" t="str">
        <f>" type2: """&amp;MASTER!D164&amp;""""</f>
        <v xml:space="preserve"> type2: "Flying"</v>
      </c>
      <c r="G163" t="str">
        <f>" location: """&amp;_xlfn.TEXTJOIN(" ",1,TRIM(MASTER!M164))&amp;""""</f>
        <v xml:space="preserve"> location: "Riverbank Cave (Know Strength) 👣"</v>
      </c>
      <c r="H163" t="e">
        <f>" evolve: """&amp;MASTER!#REF!&amp;""" }"</f>
        <v>#REF!</v>
      </c>
      <c r="I163" s="25" t="e">
        <f t="shared" si="5"/>
        <v>#REF!</v>
      </c>
    </row>
    <row r="164" spans="1:9" x14ac:dyDescent="0.2">
      <c r="A164" t="str">
        <f>"{ id: """&amp;MASTER!H165&amp;""""</f>
        <v>{ id: "164"</v>
      </c>
      <c r="B164" t="str">
        <f>" id2: """&amp;MASTER!G165&amp;""""</f>
        <v xml:space="preserve"> id2: "107"</v>
      </c>
      <c r="C164" t="str">
        <f>" name: """&amp;MASTER!B165&amp;""""</f>
        <v xml:space="preserve"> name: "Noctowl"</v>
      </c>
      <c r="D164" t="str">
        <f t="shared" si="4"/>
        <v xml:space="preserve"> img: "noctowl.gif"</v>
      </c>
      <c r="E164" t="str">
        <f>" type1: """&amp;MASTER!C165&amp;""""</f>
        <v xml:space="preserve"> type1: "Normal"</v>
      </c>
      <c r="F164" t="str">
        <f>" type2: """&amp;MASTER!D165&amp;""""</f>
        <v xml:space="preserve"> type2: "Flying"</v>
      </c>
      <c r="G164" t="str">
        <f>" location: """&amp;_xlfn.TEXTJOIN(" ",1,TRIM(MASTER!M165))&amp;""""</f>
        <v xml:space="preserve"> location: "Lake Valor 👣 20% 🌃"</v>
      </c>
      <c r="H164" t="e">
        <f>" evolve: """&amp;MASTER!#REF!&amp;""" }"</f>
        <v>#REF!</v>
      </c>
      <c r="I164" s="25" t="e">
        <f t="shared" si="5"/>
        <v>#REF!</v>
      </c>
    </row>
    <row r="165" spans="1:9" x14ac:dyDescent="0.2">
      <c r="A165" t="str">
        <f>"{ id: """&amp;MASTER!H166&amp;""""</f>
        <v>{ id: "165"</v>
      </c>
      <c r="B165" t="str">
        <f>" id2: """&amp;MASTER!G166&amp;""""</f>
        <v xml:space="preserve"> id2: ""</v>
      </c>
      <c r="C165" t="str">
        <f>" name: """&amp;MASTER!B166&amp;""""</f>
        <v xml:space="preserve"> name: "Ledyba"</v>
      </c>
      <c r="D165" t="str">
        <f t="shared" si="4"/>
        <v xml:space="preserve"> img: "ledyba.gif"</v>
      </c>
      <c r="E165" t="str">
        <f>" type1: """&amp;MASTER!C166&amp;""""</f>
        <v xml:space="preserve"> type1: "Bug"</v>
      </c>
      <c r="F165" t="str">
        <f>" type2: """&amp;MASTER!D166&amp;""""</f>
        <v xml:space="preserve"> type2: "Flying"</v>
      </c>
      <c r="G165" t="str">
        <f>" location: """&amp;_xlfn.TEXTJOIN(" ",1,TRIM(MASTER!M166))&amp;""""</f>
        <v xml:space="preserve"> location: "None 👣"</v>
      </c>
      <c r="H165" t="e">
        <f>" evolve: """&amp;MASTER!#REF!&amp;""" }"</f>
        <v>#REF!</v>
      </c>
      <c r="I165" s="25" t="e">
        <f t="shared" si="5"/>
        <v>#REF!</v>
      </c>
    </row>
    <row r="166" spans="1:9" x14ac:dyDescent="0.2">
      <c r="A166" t="str">
        <f>"{ id: """&amp;MASTER!H167&amp;""""</f>
        <v>{ id: "166"</v>
      </c>
      <c r="B166" t="str">
        <f>" id2: """&amp;MASTER!G167&amp;""""</f>
        <v xml:space="preserve"> id2: ""</v>
      </c>
      <c r="C166" t="str">
        <f>" name: """&amp;MASTER!B167&amp;""""</f>
        <v xml:space="preserve"> name: "Ledian"</v>
      </c>
      <c r="D166" t="str">
        <f t="shared" si="4"/>
        <v xml:space="preserve"> img: "ledian.gif"</v>
      </c>
      <c r="E166" t="str">
        <f>" type1: """&amp;MASTER!C167&amp;""""</f>
        <v xml:space="preserve"> type1: "Bug"</v>
      </c>
      <c r="F166" t="str">
        <f>" type2: """&amp;MASTER!D167&amp;""""</f>
        <v xml:space="preserve"> type2: "Flying"</v>
      </c>
      <c r="G166" t="str">
        <f>" location: """&amp;_xlfn.TEXTJOIN(" ",1,TRIM(MASTER!M167))&amp;""""</f>
        <v xml:space="preserve"> location: "Grassland Cave 👣"</v>
      </c>
      <c r="H166" t="e">
        <f>" evolve: """&amp;MASTER!#REF!&amp;""" }"</f>
        <v>#REF!</v>
      </c>
      <c r="I166" s="25" t="e">
        <f t="shared" si="5"/>
        <v>#REF!</v>
      </c>
    </row>
    <row r="167" spans="1:9" x14ac:dyDescent="0.2">
      <c r="A167" t="str">
        <f>"{ id: """&amp;MASTER!H168&amp;""""</f>
        <v>{ id: "167"</v>
      </c>
      <c r="B167" t="str">
        <f>" id2: """&amp;MASTER!G168&amp;""""</f>
        <v xml:space="preserve"> id2: ""</v>
      </c>
      <c r="C167" t="str">
        <f>" name: """&amp;MASTER!B168&amp;""""</f>
        <v xml:space="preserve"> name: "Spinarak"</v>
      </c>
      <c r="D167" t="str">
        <f t="shared" si="4"/>
        <v xml:space="preserve"> img: "spinarak.gif"</v>
      </c>
      <c r="E167" t="str">
        <f>" type1: """&amp;MASTER!C168&amp;""""</f>
        <v xml:space="preserve"> type1: "Bug"</v>
      </c>
      <c r="F167" t="str">
        <f>" type2: """&amp;MASTER!D168&amp;""""</f>
        <v xml:space="preserve"> type2: "Poison"</v>
      </c>
      <c r="G167" t="str">
        <f>" location: """&amp;_xlfn.TEXTJOIN(" ",1,TRIM(MASTER!M168))&amp;""""</f>
        <v xml:space="preserve"> location: "None 👣"</v>
      </c>
      <c r="H167" t="e">
        <f>" evolve: """&amp;MASTER!#REF!&amp;""" }"</f>
        <v>#REF!</v>
      </c>
      <c r="I167" s="25" t="e">
        <f t="shared" si="5"/>
        <v>#REF!</v>
      </c>
    </row>
    <row r="168" spans="1:9" x14ac:dyDescent="0.2">
      <c r="A168" t="str">
        <f>"{ id: """&amp;MASTER!H169&amp;""""</f>
        <v>{ id: "168"</v>
      </c>
      <c r="B168" t="str">
        <f>" id2: """&amp;MASTER!G169&amp;""""</f>
        <v xml:space="preserve"> id2: ""</v>
      </c>
      <c r="C168" t="str">
        <f>" name: """&amp;MASTER!B169&amp;""""</f>
        <v xml:space="preserve"> name: "Ariados"</v>
      </c>
      <c r="D168" t="str">
        <f t="shared" si="4"/>
        <v xml:space="preserve"> img: "ariados.gif"</v>
      </c>
      <c r="E168" t="str">
        <f>" type1: """&amp;MASTER!C169&amp;""""</f>
        <v xml:space="preserve"> type1: "Bug"</v>
      </c>
      <c r="F168" t="str">
        <f>" type2: """&amp;MASTER!D169&amp;""""</f>
        <v xml:space="preserve"> type2: "Poison"</v>
      </c>
      <c r="G168" t="str">
        <f>" location: """&amp;_xlfn.TEXTJOIN(" ",1,TRIM(MASTER!M169))&amp;""""</f>
        <v xml:space="preserve"> location: "Grassland Cave 👣"</v>
      </c>
      <c r="H168" t="e">
        <f>" evolve: """&amp;MASTER!#REF!&amp;""" }"</f>
        <v>#REF!</v>
      </c>
      <c r="I168" s="25" t="e">
        <f t="shared" si="5"/>
        <v>#REF!</v>
      </c>
    </row>
    <row r="169" spans="1:9" x14ac:dyDescent="0.2">
      <c r="A169" t="str">
        <f>"{ id: """&amp;MASTER!H170&amp;""""</f>
        <v>{ id: "169"</v>
      </c>
      <c r="B169" t="str">
        <f>" id2: """&amp;MASTER!G170&amp;""""</f>
        <v xml:space="preserve"> id2: "030"</v>
      </c>
      <c r="C169" t="str">
        <f>" name: """&amp;MASTER!B170&amp;""""</f>
        <v xml:space="preserve"> name: "Crobat"</v>
      </c>
      <c r="D169" t="str">
        <f t="shared" si="4"/>
        <v xml:space="preserve"> img: "crobat.gif"</v>
      </c>
      <c r="E169" t="str">
        <f>" type1: """&amp;MASTER!C170&amp;""""</f>
        <v xml:space="preserve"> type1: "Poison"</v>
      </c>
      <c r="F169" t="str">
        <f>" type2: """&amp;MASTER!D170&amp;""""</f>
        <v xml:space="preserve"> type2: "Flying"</v>
      </c>
      <c r="G169" t="str">
        <f>" location: """&amp;_xlfn.TEXTJOIN(" ",1,TRIM(MASTER!M170))&amp;""""</f>
        <v xml:space="preserve"> location: "None"</v>
      </c>
      <c r="H169" t="e">
        <f>" evolve: """&amp;MASTER!#REF!&amp;""" }"</f>
        <v>#REF!</v>
      </c>
      <c r="I169" s="25" t="e">
        <f t="shared" si="5"/>
        <v>#REF!</v>
      </c>
    </row>
    <row r="170" spans="1:9" x14ac:dyDescent="0.2">
      <c r="A170" t="str">
        <f>"{ id: """&amp;MASTER!H171&amp;""""</f>
        <v>{ id: "170"</v>
      </c>
      <c r="B170" t="str">
        <f>" id2: """&amp;MASTER!G171&amp;""""</f>
        <v xml:space="preserve"> id2: ""</v>
      </c>
      <c r="C170" t="str">
        <f>" name: """&amp;MASTER!B171&amp;""""</f>
        <v xml:space="preserve"> name: "Chinchou"</v>
      </c>
      <c r="D170" t="str">
        <f t="shared" si="4"/>
        <v xml:space="preserve"> img: "chinchou.gif"</v>
      </c>
      <c r="E170" t="str">
        <f>" type1: """&amp;MASTER!C171&amp;""""</f>
        <v xml:space="preserve"> type1: "Water"</v>
      </c>
      <c r="F170" t="str">
        <f>" type2: """&amp;MASTER!D171&amp;""""</f>
        <v xml:space="preserve"> type2: "Electric"</v>
      </c>
      <c r="G170" t="str">
        <f>" location: """&amp;_xlfn.TEXTJOIN(" ",1,TRIM(MASTER!M171))&amp;""""</f>
        <v xml:space="preserve"> location: "Fountainspring Cave 👣"</v>
      </c>
      <c r="H170" t="e">
        <f>" evolve: """&amp;MASTER!#REF!&amp;""" }"</f>
        <v>#REF!</v>
      </c>
      <c r="I170" s="25" t="e">
        <f t="shared" si="5"/>
        <v>#REF!</v>
      </c>
    </row>
    <row r="171" spans="1:9" x14ac:dyDescent="0.2">
      <c r="A171" t="str">
        <f>"{ id: """&amp;MASTER!H172&amp;""""</f>
        <v>{ id: "171"</v>
      </c>
      <c r="B171" t="str">
        <f>" id2: """&amp;MASTER!G172&amp;""""</f>
        <v xml:space="preserve"> id2: ""</v>
      </c>
      <c r="C171" t="str">
        <f>" name: """&amp;MASTER!B172&amp;""""</f>
        <v xml:space="preserve"> name: "Lanturn"</v>
      </c>
      <c r="D171" t="str">
        <f t="shared" si="4"/>
        <v xml:space="preserve"> img: "lanturn.gif"</v>
      </c>
      <c r="E171" t="str">
        <f>" type1: """&amp;MASTER!C172&amp;""""</f>
        <v xml:space="preserve"> type1: "Water"</v>
      </c>
      <c r="F171" t="str">
        <f>" type2: """&amp;MASTER!D172&amp;""""</f>
        <v xml:space="preserve"> type2: "Electric"</v>
      </c>
      <c r="G171" t="str">
        <f>" location: """&amp;_xlfn.TEXTJOIN(" ",1,TRIM(MASTER!M172))&amp;""""</f>
        <v xml:space="preserve"> location: "Fountainspring Cave 👣"</v>
      </c>
      <c r="H171" t="e">
        <f>" evolve: """&amp;MASTER!#REF!&amp;""" }"</f>
        <v>#REF!</v>
      </c>
      <c r="I171" s="25" t="e">
        <f t="shared" si="5"/>
        <v>#REF!</v>
      </c>
    </row>
    <row r="172" spans="1:9" x14ac:dyDescent="0.2">
      <c r="A172" t="str">
        <f>"{ id: """&amp;MASTER!H173&amp;""""</f>
        <v>{ id: "172"</v>
      </c>
      <c r="B172" t="str">
        <f>" id2: """&amp;MASTER!G173&amp;""""</f>
        <v xml:space="preserve"> id2: "103"</v>
      </c>
      <c r="C172" t="str">
        <f>" name: """&amp;MASTER!B173&amp;""""</f>
        <v xml:space="preserve"> name: "Pichu"</v>
      </c>
      <c r="D172" t="str">
        <f t="shared" si="4"/>
        <v xml:space="preserve"> img: "pichu.gif"</v>
      </c>
      <c r="E172" t="str">
        <f>" type1: """&amp;MASTER!C173&amp;""""</f>
        <v xml:space="preserve"> type1: "Electric"</v>
      </c>
      <c r="F172" t="str">
        <f>" type2: """&amp;MASTER!D173&amp;""""</f>
        <v xml:space="preserve"> type2: ""</v>
      </c>
      <c r="G172" t="str">
        <f>" location: """&amp;_xlfn.TEXTJOIN(" ",1,TRIM(MASTER!M173))&amp;""""</f>
        <v xml:space="preserve"> location: "Trophy Garden 👣 🌅"</v>
      </c>
      <c r="H172" t="e">
        <f>" evolve: """&amp;MASTER!#REF!&amp;""" }"</f>
        <v>#REF!</v>
      </c>
      <c r="I172" s="25" t="e">
        <f t="shared" si="5"/>
        <v>#REF!</v>
      </c>
    </row>
    <row r="173" spans="1:9" x14ac:dyDescent="0.2">
      <c r="A173" t="str">
        <f>"{ id: """&amp;MASTER!H174&amp;""""</f>
        <v>{ id: "173"</v>
      </c>
      <c r="B173" t="str">
        <f>" id2: """&amp;MASTER!G174&amp;""""</f>
        <v xml:space="preserve"> id2: "099"</v>
      </c>
      <c r="C173" t="str">
        <f>" name: """&amp;MASTER!B174&amp;""""</f>
        <v xml:space="preserve"> name: "Cleffa"</v>
      </c>
      <c r="D173" t="str">
        <f t="shared" si="4"/>
        <v xml:space="preserve"> img: "cleffa.gif"</v>
      </c>
      <c r="E173" t="str">
        <f>" type1: """&amp;MASTER!C174&amp;""""</f>
        <v xml:space="preserve"> type1: "Fairy"</v>
      </c>
      <c r="F173" t="str">
        <f>" type2: """&amp;MASTER!D174&amp;""""</f>
        <v xml:space="preserve"> type2: ""</v>
      </c>
      <c r="G173" t="str">
        <f>" location: """&amp;_xlfn.TEXTJOIN(" ",1,TRIM(MASTER!M174))&amp;""""</f>
        <v xml:space="preserve"> location: "Mt. Coronet 1F South 👣 🌅"</v>
      </c>
      <c r="H173" t="e">
        <f>" evolve: """&amp;MASTER!#REF!&amp;""" }"</f>
        <v>#REF!</v>
      </c>
      <c r="I173" s="25" t="e">
        <f t="shared" si="5"/>
        <v>#REF!</v>
      </c>
    </row>
    <row r="174" spans="1:9" x14ac:dyDescent="0.2">
      <c r="A174" t="str">
        <f>"{ id: """&amp;MASTER!H175&amp;""""</f>
        <v>{ id: "174"</v>
      </c>
      <c r="B174" t="str">
        <f>" id2: """&amp;MASTER!G175&amp;""""</f>
        <v xml:space="preserve"> id2: ""</v>
      </c>
      <c r="C174" t="str">
        <f>" name: """&amp;MASTER!B175&amp;""""</f>
        <v xml:space="preserve"> name: "Igglybuff"</v>
      </c>
      <c r="D174" t="str">
        <f t="shared" si="4"/>
        <v xml:space="preserve"> img: "igglybuff.gif"</v>
      </c>
      <c r="E174" t="str">
        <f>" type1: """&amp;MASTER!C175&amp;""""</f>
        <v xml:space="preserve"> type1: "Normal"</v>
      </c>
      <c r="F174" t="str">
        <f>" type2: """&amp;MASTER!D175&amp;""""</f>
        <v xml:space="preserve"> type2: "Fairy"</v>
      </c>
      <c r="G174" t="str">
        <f>" location: """&amp;_xlfn.TEXTJOIN(" ",1,TRIM(MASTER!M175))&amp;""""</f>
        <v xml:space="preserve"> location: "Trophy Garden (Special) 👣"</v>
      </c>
      <c r="H174" t="e">
        <f>" evolve: """&amp;MASTER!#REF!&amp;""" }"</f>
        <v>#REF!</v>
      </c>
      <c r="I174" s="25" t="e">
        <f t="shared" si="5"/>
        <v>#REF!</v>
      </c>
    </row>
    <row r="175" spans="1:9" x14ac:dyDescent="0.2">
      <c r="A175" t="str">
        <f>"{ id: """&amp;MASTER!H176&amp;""""</f>
        <v>{ id: "175"</v>
      </c>
      <c r="B175" t="str">
        <f>" id2: """&amp;MASTER!G176&amp;""""</f>
        <v xml:space="preserve"> id2: ""</v>
      </c>
      <c r="C175" t="str">
        <f>" name: """&amp;MASTER!B176&amp;""""</f>
        <v xml:space="preserve"> name: "Togepi"</v>
      </c>
      <c r="D175" t="str">
        <f t="shared" si="4"/>
        <v xml:space="preserve"> img: "togepi.gif"</v>
      </c>
      <c r="E175" t="str">
        <f>" type1: """&amp;MASTER!C176&amp;""""</f>
        <v xml:space="preserve"> type1: "Fairy"</v>
      </c>
      <c r="F175" t="str">
        <f>" type2: """&amp;MASTER!D176&amp;""""</f>
        <v xml:space="preserve"> type2: ""</v>
      </c>
      <c r="G175" t="str">
        <f>" location: """&amp;_xlfn.TEXTJOIN(" ",1,TRIM(MASTER!M176))&amp;""""</f>
        <v xml:space="preserve"> location: "Fountainspring Cave 👣 10%"</v>
      </c>
      <c r="H175" t="e">
        <f>" evolve: """&amp;MASTER!#REF!&amp;""" }"</f>
        <v>#REF!</v>
      </c>
      <c r="I175" s="25" t="e">
        <f t="shared" si="5"/>
        <v>#REF!</v>
      </c>
    </row>
    <row r="176" spans="1:9" x14ac:dyDescent="0.2">
      <c r="A176" t="str">
        <f>"{ id: """&amp;MASTER!H177&amp;""""</f>
        <v>{ id: "176"</v>
      </c>
      <c r="B176" t="str">
        <f>" id2: """&amp;MASTER!G177&amp;""""</f>
        <v xml:space="preserve"> id2: ""</v>
      </c>
      <c r="C176" t="str">
        <f>" name: """&amp;MASTER!B177&amp;""""</f>
        <v xml:space="preserve"> name: "Togetic"</v>
      </c>
      <c r="D176" t="str">
        <f t="shared" si="4"/>
        <v xml:space="preserve"> img: "togetic.gif"</v>
      </c>
      <c r="E176" t="str">
        <f>" type1: """&amp;MASTER!C177&amp;""""</f>
        <v xml:space="preserve"> type1: "Fairy"</v>
      </c>
      <c r="F176" t="str">
        <f>" type2: """&amp;MASTER!D177&amp;""""</f>
        <v xml:space="preserve"> type2: "Flying"</v>
      </c>
      <c r="G176" t="str">
        <f>" location: """&amp;_xlfn.TEXTJOIN(" ",1,TRIM(MASTER!M177))&amp;""""</f>
        <v xml:space="preserve"> location: "None"</v>
      </c>
      <c r="H176" t="e">
        <f>" evolve: """&amp;MASTER!#REF!&amp;""" }"</f>
        <v>#REF!</v>
      </c>
      <c r="I176" s="25" t="e">
        <f t="shared" si="5"/>
        <v>#REF!</v>
      </c>
    </row>
    <row r="177" spans="1:9" x14ac:dyDescent="0.2">
      <c r="A177" t="str">
        <f>"{ id: """&amp;MASTER!H178&amp;""""</f>
        <v>{ id: "177"</v>
      </c>
      <c r="B177" t="str">
        <f>" id2: """&amp;MASTER!G178&amp;""""</f>
        <v xml:space="preserve"> id2: ""</v>
      </c>
      <c r="C177" t="str">
        <f>" name: """&amp;MASTER!B178&amp;""""</f>
        <v xml:space="preserve"> name: "Natu"</v>
      </c>
      <c r="D177" t="str">
        <f t="shared" si="4"/>
        <v xml:space="preserve"> img: "natu.gif"</v>
      </c>
      <c r="E177" t="str">
        <f>" type1: """&amp;MASTER!C178&amp;""""</f>
        <v xml:space="preserve"> type1: "Psychic"</v>
      </c>
      <c r="F177" t="str">
        <f>" type2: """&amp;MASTER!D178&amp;""""</f>
        <v xml:space="preserve"> type2: "Flying"</v>
      </c>
      <c r="G177" t="str">
        <f>" location: """&amp;_xlfn.TEXTJOIN(" ",1,TRIM(MASTER!M178))&amp;""""</f>
        <v xml:space="preserve"> location: "Spacious Cave 👣"</v>
      </c>
      <c r="H177" t="e">
        <f>" evolve: """&amp;MASTER!#REF!&amp;""" }"</f>
        <v>#REF!</v>
      </c>
      <c r="I177" s="25" t="e">
        <f t="shared" si="5"/>
        <v>#REF!</v>
      </c>
    </row>
    <row r="178" spans="1:9" x14ac:dyDescent="0.2">
      <c r="A178" t="str">
        <f>"{ id: """&amp;MASTER!H179&amp;""""</f>
        <v>{ id: "178"</v>
      </c>
      <c r="B178" t="str">
        <f>" id2: """&amp;MASTER!G179&amp;""""</f>
        <v xml:space="preserve"> id2: ""</v>
      </c>
      <c r="C178" t="str">
        <f>" name: """&amp;MASTER!B179&amp;""""</f>
        <v xml:space="preserve"> name: "Xatu"</v>
      </c>
      <c r="D178" t="str">
        <f t="shared" si="4"/>
        <v xml:space="preserve"> img: "xatu.gif"</v>
      </c>
      <c r="E178" t="str">
        <f>" type1: """&amp;MASTER!C179&amp;""""</f>
        <v xml:space="preserve"> type1: "Psychic"</v>
      </c>
      <c r="F178" t="str">
        <f>" type2: """&amp;MASTER!D179&amp;""""</f>
        <v xml:space="preserve"> type2: "Flying"</v>
      </c>
      <c r="G178" t="str">
        <f>" location: """&amp;_xlfn.TEXTJOIN(" ",1,TRIM(MASTER!M179))&amp;""""</f>
        <v xml:space="preserve"> location: "None"</v>
      </c>
      <c r="H178" t="e">
        <f>" evolve: """&amp;MASTER!#REF!&amp;""" }"</f>
        <v>#REF!</v>
      </c>
      <c r="I178" s="25" t="e">
        <f t="shared" si="5"/>
        <v>#REF!</v>
      </c>
    </row>
    <row r="179" spans="1:9" x14ac:dyDescent="0.2">
      <c r="A179" t="str">
        <f>"{ id: """&amp;MASTER!H180&amp;""""</f>
        <v>{ id: "179"</v>
      </c>
      <c r="B179" t="str">
        <f>" id2: """&amp;MASTER!G180&amp;""""</f>
        <v xml:space="preserve"> id2: ""</v>
      </c>
      <c r="C179" t="str">
        <f>" name: """&amp;MASTER!B180&amp;""""</f>
        <v xml:space="preserve"> name: "Mareep"</v>
      </c>
      <c r="D179" t="str">
        <f t="shared" si="4"/>
        <v xml:space="preserve"> img: "mareep.gif"</v>
      </c>
      <c r="E179" t="str">
        <f>" type1: """&amp;MASTER!C180&amp;""""</f>
        <v xml:space="preserve"> type1: "Electric"</v>
      </c>
      <c r="F179" t="str">
        <f>" type2: """&amp;MASTER!D180&amp;""""</f>
        <v xml:space="preserve"> type2: ""</v>
      </c>
      <c r="G179" t="str">
        <f>" location: """&amp;_xlfn.TEXTJOIN(" ",1,TRIM(MASTER!M180))&amp;""""</f>
        <v xml:space="preserve"> location: "Grassland Cave 👣"</v>
      </c>
      <c r="H179" t="e">
        <f>" evolve: """&amp;MASTER!#REF!&amp;""" }"</f>
        <v>#REF!</v>
      </c>
      <c r="I179" s="25" t="e">
        <f t="shared" si="5"/>
        <v>#REF!</v>
      </c>
    </row>
    <row r="180" spans="1:9" x14ac:dyDescent="0.2">
      <c r="A180" t="str">
        <f>"{ id: """&amp;MASTER!H181&amp;""""</f>
        <v>{ id: "180"</v>
      </c>
      <c r="B180" t="str">
        <f>" id2: """&amp;MASTER!G181&amp;""""</f>
        <v xml:space="preserve"> id2: ""</v>
      </c>
      <c r="C180" t="str">
        <f>" name: """&amp;MASTER!B181&amp;""""</f>
        <v xml:space="preserve"> name: "Flaaffy"</v>
      </c>
      <c r="D180" t="str">
        <f t="shared" si="4"/>
        <v xml:space="preserve"> img: "flaaffy.gif"</v>
      </c>
      <c r="E180" t="str">
        <f>" type1: """&amp;MASTER!C181&amp;""""</f>
        <v xml:space="preserve"> type1: "Electric"</v>
      </c>
      <c r="F180" t="str">
        <f>" type2: """&amp;MASTER!D181&amp;""""</f>
        <v xml:space="preserve"> type2: ""</v>
      </c>
      <c r="G180" t="str">
        <f>" location: """&amp;_xlfn.TEXTJOIN(" ",1,TRIM(MASTER!M181))&amp;""""</f>
        <v xml:space="preserve"> location: "Grassland Cave 👣"</v>
      </c>
      <c r="H180" t="e">
        <f>" evolve: """&amp;MASTER!#REF!&amp;""" }"</f>
        <v>#REF!</v>
      </c>
      <c r="I180" s="25" t="e">
        <f t="shared" si="5"/>
        <v>#REF!</v>
      </c>
    </row>
    <row r="181" spans="1:9" x14ac:dyDescent="0.2">
      <c r="A181" t="str">
        <f>"{ id: """&amp;MASTER!H182&amp;""""</f>
        <v>{ id: "181"</v>
      </c>
      <c r="B181" t="str">
        <f>" id2: """&amp;MASTER!G182&amp;""""</f>
        <v xml:space="preserve"> id2: ""</v>
      </c>
      <c r="C181" t="str">
        <f>" name: """&amp;MASTER!B182&amp;""""</f>
        <v xml:space="preserve"> name: "Ampharos"</v>
      </c>
      <c r="D181" t="str">
        <f t="shared" si="4"/>
        <v xml:space="preserve"> img: "ampharos.gif"</v>
      </c>
      <c r="E181" t="str">
        <f>" type1: """&amp;MASTER!C182&amp;""""</f>
        <v xml:space="preserve"> type1: "Electric"</v>
      </c>
      <c r="F181" t="str">
        <f>" type2: """&amp;MASTER!D182&amp;""""</f>
        <v xml:space="preserve"> type2: ""</v>
      </c>
      <c r="G181" t="str">
        <f>" location: """&amp;_xlfn.TEXTJOIN(" ",1,TRIM(MASTER!M182))&amp;""""</f>
        <v xml:space="preserve"> location: "None"</v>
      </c>
      <c r="H181" t="e">
        <f>" evolve: """&amp;MASTER!#REF!&amp;""" }"</f>
        <v>#REF!</v>
      </c>
      <c r="I181" s="25" t="e">
        <f t="shared" si="5"/>
        <v>#REF!</v>
      </c>
    </row>
    <row r="182" spans="1:9" x14ac:dyDescent="0.2">
      <c r="A182" t="str">
        <f>"{ id: """&amp;MASTER!H183&amp;""""</f>
        <v>{ id: "182"</v>
      </c>
      <c r="B182" t="str">
        <f>" id2: """&amp;MASTER!G183&amp;""""</f>
        <v xml:space="preserve"> id2: ""</v>
      </c>
      <c r="C182" t="str">
        <f>" name: """&amp;MASTER!B183&amp;""""</f>
        <v xml:space="preserve"> name: "Bellossom"</v>
      </c>
      <c r="D182" t="str">
        <f t="shared" si="4"/>
        <v xml:space="preserve"> img: "bellossom.gif"</v>
      </c>
      <c r="E182" t="str">
        <f>" type1: """&amp;MASTER!C183&amp;""""</f>
        <v xml:space="preserve"> type1: "Grass"</v>
      </c>
      <c r="F182" t="str">
        <f>" type2: """&amp;MASTER!D183&amp;""""</f>
        <v xml:space="preserve"> type2: ""</v>
      </c>
      <c r="G182" t="str">
        <f>" location: """&amp;_xlfn.TEXTJOIN(" ",1,TRIM(MASTER!M183))&amp;""""</f>
        <v xml:space="preserve"> location: "None"</v>
      </c>
      <c r="H182" t="e">
        <f>" evolve: """&amp;MASTER!#REF!&amp;""" }"</f>
        <v>#REF!</v>
      </c>
      <c r="I182" s="25" t="e">
        <f t="shared" si="5"/>
        <v>#REF!</v>
      </c>
    </row>
    <row r="183" spans="1:9" x14ac:dyDescent="0.2">
      <c r="A183" t="str">
        <f>"{ id: """&amp;MASTER!H184&amp;""""</f>
        <v>{ id: "183"</v>
      </c>
      <c r="B183" t="str">
        <f>" id2: """&amp;MASTER!G184&amp;""""</f>
        <v xml:space="preserve"> id2: "125"</v>
      </c>
      <c r="C183" t="str">
        <f>" name: """&amp;MASTER!B184&amp;""""</f>
        <v xml:space="preserve"> name: "Marill"</v>
      </c>
      <c r="D183" t="str">
        <f t="shared" si="4"/>
        <v xml:space="preserve"> img: "marill.gif"</v>
      </c>
      <c r="E183" t="str">
        <f>" type1: """&amp;MASTER!C184&amp;""""</f>
        <v xml:space="preserve"> type1: "Water"</v>
      </c>
      <c r="F183" t="str">
        <f>" type2: """&amp;MASTER!D184&amp;""""</f>
        <v xml:space="preserve"> type2: "Fairy"</v>
      </c>
      <c r="G183" t="str">
        <f>" location: """&amp;_xlfn.TEXTJOIN(" ",1,TRIM(MASTER!M184))&amp;""""</f>
        <v xml:space="preserve"> location: "Great Marsh 🌊"</v>
      </c>
      <c r="H183" t="e">
        <f>" evolve: """&amp;MASTER!#REF!&amp;""" }"</f>
        <v>#REF!</v>
      </c>
      <c r="I183" s="25" t="e">
        <f t="shared" si="5"/>
        <v>#REF!</v>
      </c>
    </row>
    <row r="184" spans="1:9" x14ac:dyDescent="0.2">
      <c r="A184" t="str">
        <f>"{ id: """&amp;MASTER!H185&amp;""""</f>
        <v>{ id: "184"</v>
      </c>
      <c r="B184" t="str">
        <f>" id2: """&amp;MASTER!G185&amp;""""</f>
        <v xml:space="preserve"> id2: "126"</v>
      </c>
      <c r="C184" t="str">
        <f>" name: """&amp;MASTER!B185&amp;""""</f>
        <v xml:space="preserve"> name: "Azumarill"</v>
      </c>
      <c r="D184" t="str">
        <f t="shared" si="4"/>
        <v xml:space="preserve"> img: "azumarill.gif"</v>
      </c>
      <c r="E184" t="str">
        <f>" type1: """&amp;MASTER!C185&amp;""""</f>
        <v xml:space="preserve"> type1: "Water"</v>
      </c>
      <c r="F184" t="str">
        <f>" type2: """&amp;MASTER!D185&amp;""""</f>
        <v xml:space="preserve"> type2: "Fairy"</v>
      </c>
      <c r="G184" t="str">
        <f>" location: """&amp;_xlfn.TEXTJOIN(" ",1,TRIM(MASTER!M185))&amp;""""</f>
        <v xml:space="preserve"> location: "None"</v>
      </c>
      <c r="H184" t="e">
        <f>" evolve: """&amp;MASTER!#REF!&amp;""" }"</f>
        <v>#REF!</v>
      </c>
      <c r="I184" s="25" t="e">
        <f t="shared" si="5"/>
        <v>#REF!</v>
      </c>
    </row>
    <row r="185" spans="1:9" x14ac:dyDescent="0.2">
      <c r="A185" t="str">
        <f>"{ id: """&amp;MASTER!H186&amp;""""</f>
        <v>{ id: "185"</v>
      </c>
      <c r="B185" t="str">
        <f>" id2: """&amp;MASTER!G186&amp;""""</f>
        <v xml:space="preserve"> id2: "093"</v>
      </c>
      <c r="C185" t="str">
        <f>" name: """&amp;MASTER!B186&amp;""""</f>
        <v xml:space="preserve"> name: "Sudowoodo"</v>
      </c>
      <c r="D185" t="str">
        <f t="shared" si="4"/>
        <v xml:space="preserve"> img: "sudowoodo.gif"</v>
      </c>
      <c r="E185" t="str">
        <f>" type1: """&amp;MASTER!C186&amp;""""</f>
        <v xml:space="preserve"> type1: "Rock"</v>
      </c>
      <c r="F185" t="str">
        <f>" type2: """&amp;MASTER!D186&amp;""""</f>
        <v xml:space="preserve"> type2: ""</v>
      </c>
      <c r="G185" t="str">
        <f>" location: """&amp;_xlfn.TEXTJOIN(" ",1,TRIM(MASTER!M186))&amp;""""</f>
        <v xml:space="preserve"> location: "Route 214 👣 4% ⚪only"</v>
      </c>
      <c r="H185" t="e">
        <f>" evolve: """&amp;MASTER!#REF!&amp;""" }"</f>
        <v>#REF!</v>
      </c>
      <c r="I185" s="25" t="e">
        <f t="shared" si="5"/>
        <v>#REF!</v>
      </c>
    </row>
    <row r="186" spans="1:9" x14ac:dyDescent="0.2">
      <c r="A186" t="str">
        <f>"{ id: """&amp;MASTER!H187&amp;""""</f>
        <v>{ id: "186"</v>
      </c>
      <c r="B186" t="str">
        <f>" id2: """&amp;MASTER!G187&amp;""""</f>
        <v xml:space="preserve"> id2: ""</v>
      </c>
      <c r="C186" t="str">
        <f>" name: """&amp;MASTER!B187&amp;""""</f>
        <v xml:space="preserve"> name: "Politoed"</v>
      </c>
      <c r="D186" t="str">
        <f t="shared" si="4"/>
        <v xml:space="preserve"> img: "politoed.gif"</v>
      </c>
      <c r="E186" t="str">
        <f>" type1: """&amp;MASTER!C187&amp;""""</f>
        <v xml:space="preserve"> type1: "Water"</v>
      </c>
      <c r="F186" t="str">
        <f>" type2: """&amp;MASTER!D187&amp;""""</f>
        <v xml:space="preserve"> type2: ""</v>
      </c>
      <c r="G186" t="str">
        <f>" location: """&amp;_xlfn.TEXTJOIN(" ",1,TRIM(MASTER!M187))&amp;""""</f>
        <v xml:space="preserve"> location: "None"</v>
      </c>
      <c r="H186" t="e">
        <f>" evolve: """&amp;MASTER!#REF!&amp;""" }"</f>
        <v>#REF!</v>
      </c>
      <c r="I186" s="25" t="e">
        <f t="shared" si="5"/>
        <v>#REF!</v>
      </c>
    </row>
    <row r="187" spans="1:9" x14ac:dyDescent="0.2">
      <c r="A187" t="str">
        <f>"{ id: """&amp;MASTER!H188&amp;""""</f>
        <v>{ id: "187"</v>
      </c>
      <c r="B187" t="str">
        <f>" id2: """&amp;MASTER!G188&amp;""""</f>
        <v xml:space="preserve"> id2: ""</v>
      </c>
      <c r="C187" t="str">
        <f>" name: """&amp;MASTER!B188&amp;""""</f>
        <v xml:space="preserve"> name: "Hoppip"</v>
      </c>
      <c r="D187" t="str">
        <f t="shared" si="4"/>
        <v xml:space="preserve"> img: "hoppip.gif"</v>
      </c>
      <c r="E187" t="str">
        <f>" type1: """&amp;MASTER!C188&amp;""""</f>
        <v xml:space="preserve"> type1: "Grass"</v>
      </c>
      <c r="F187" t="str">
        <f>" type2: """&amp;MASTER!D188&amp;""""</f>
        <v xml:space="preserve"> type2: "Flying"</v>
      </c>
      <c r="G187" t="str">
        <f>" location: """&amp;_xlfn.TEXTJOIN(" ",1,TRIM(MASTER!M188))&amp;""""</f>
        <v xml:space="preserve"> location: "Grassland Cave 👣"</v>
      </c>
      <c r="H187" t="e">
        <f>" evolve: """&amp;MASTER!#REF!&amp;""" }"</f>
        <v>#REF!</v>
      </c>
      <c r="I187" s="25" t="e">
        <f t="shared" si="5"/>
        <v>#REF!</v>
      </c>
    </row>
    <row r="188" spans="1:9" x14ac:dyDescent="0.2">
      <c r="A188" t="str">
        <f>"{ id: """&amp;MASTER!H189&amp;""""</f>
        <v>{ id: "188"</v>
      </c>
      <c r="B188" t="str">
        <f>" id2: """&amp;MASTER!G189&amp;""""</f>
        <v xml:space="preserve"> id2: ""</v>
      </c>
      <c r="C188" t="str">
        <f>" name: """&amp;MASTER!B189&amp;""""</f>
        <v xml:space="preserve"> name: "Skiploom"</v>
      </c>
      <c r="D188" t="str">
        <f t="shared" si="4"/>
        <v xml:space="preserve"> img: "skiploom.gif"</v>
      </c>
      <c r="E188" t="str">
        <f>" type1: """&amp;MASTER!C189&amp;""""</f>
        <v xml:space="preserve"> type1: "Grass"</v>
      </c>
      <c r="F188" t="str">
        <f>" type2: """&amp;MASTER!D189&amp;""""</f>
        <v xml:space="preserve"> type2: "Flying"</v>
      </c>
      <c r="G188" t="str">
        <f>" location: """&amp;_xlfn.TEXTJOIN(" ",1,TRIM(MASTER!M189))&amp;""""</f>
        <v xml:space="preserve"> location: "Grassland Cave 👣"</v>
      </c>
      <c r="H188" t="e">
        <f>" evolve: """&amp;MASTER!#REF!&amp;""" }"</f>
        <v>#REF!</v>
      </c>
      <c r="I188" s="25" t="e">
        <f t="shared" si="5"/>
        <v>#REF!</v>
      </c>
    </row>
    <row r="189" spans="1:9" x14ac:dyDescent="0.2">
      <c r="A189" t="str">
        <f>"{ id: """&amp;MASTER!H190&amp;""""</f>
        <v>{ id: "189"</v>
      </c>
      <c r="B189" t="str">
        <f>" id2: """&amp;MASTER!G190&amp;""""</f>
        <v xml:space="preserve"> id2: ""</v>
      </c>
      <c r="C189" t="str">
        <f>" name: """&amp;MASTER!B190&amp;""""</f>
        <v xml:space="preserve"> name: "Jumpluff"</v>
      </c>
      <c r="D189" t="str">
        <f t="shared" si="4"/>
        <v xml:space="preserve"> img: "jumpluff.gif"</v>
      </c>
      <c r="E189" t="str">
        <f>" type1: """&amp;MASTER!C190&amp;""""</f>
        <v xml:space="preserve"> type1: "Grass"</v>
      </c>
      <c r="F189" t="str">
        <f>" type2: """&amp;MASTER!D190&amp;""""</f>
        <v xml:space="preserve"> type2: "Flying"</v>
      </c>
      <c r="G189" t="str">
        <f>" location: """&amp;_xlfn.TEXTJOIN(" ",1,TRIM(MASTER!M190))&amp;""""</f>
        <v xml:space="preserve"> location: "None"</v>
      </c>
      <c r="H189" t="e">
        <f>" evolve: """&amp;MASTER!#REF!&amp;""" }"</f>
        <v>#REF!</v>
      </c>
      <c r="I189" s="25" t="e">
        <f t="shared" si="5"/>
        <v>#REF!</v>
      </c>
    </row>
    <row r="190" spans="1:9" x14ac:dyDescent="0.2">
      <c r="A190" t="str">
        <f>"{ id: """&amp;MASTER!H191&amp;""""</f>
        <v>{ id: "190"</v>
      </c>
      <c r="B190" t="str">
        <f>" id2: """&amp;MASTER!G191&amp;""""</f>
        <v xml:space="preserve"> id2: "063"</v>
      </c>
      <c r="C190" t="str">
        <f>" name: """&amp;MASTER!B191&amp;""""</f>
        <v xml:space="preserve"> name: "Aipom"</v>
      </c>
      <c r="D190" t="str">
        <f t="shared" si="4"/>
        <v xml:space="preserve"> img: "aipom.gif"</v>
      </c>
      <c r="E190" t="str">
        <f>" type1: """&amp;MASTER!C191&amp;""""</f>
        <v xml:space="preserve"> type1: "Normal"</v>
      </c>
      <c r="F190" t="str">
        <f>" type2: """&amp;MASTER!D191&amp;""""</f>
        <v xml:space="preserve"> type2: ""</v>
      </c>
      <c r="G190" t="str">
        <f>" location: """&amp;_xlfn.TEXTJOIN(" ",1,TRIM(MASTER!M191))&amp;""""</f>
        <v xml:space="preserve"> location: "Spacious Cave (Know Defog) 👣"</v>
      </c>
      <c r="H190" t="e">
        <f>" evolve: """&amp;MASTER!#REF!&amp;""" }"</f>
        <v>#REF!</v>
      </c>
      <c r="I190" s="25" t="e">
        <f t="shared" si="5"/>
        <v>#REF!</v>
      </c>
    </row>
    <row r="191" spans="1:9" x14ac:dyDescent="0.2">
      <c r="A191" t="str">
        <f>"{ id: """&amp;MASTER!H192&amp;""""</f>
        <v>{ id: "191"</v>
      </c>
      <c r="B191" t="str">
        <f>" id2: """&amp;MASTER!G192&amp;""""</f>
        <v xml:space="preserve"> id2: ""</v>
      </c>
      <c r="C191" t="str">
        <f>" name: """&amp;MASTER!B192&amp;""""</f>
        <v xml:space="preserve"> name: "Sunkern"</v>
      </c>
      <c r="D191" t="str">
        <f t="shared" si="4"/>
        <v xml:space="preserve"> img: "sunkern.gif"</v>
      </c>
      <c r="E191" t="str">
        <f>" type1: """&amp;MASTER!C192&amp;""""</f>
        <v xml:space="preserve"> type1: "Grass"</v>
      </c>
      <c r="F191" t="str">
        <f>" type2: """&amp;MASTER!D192&amp;""""</f>
        <v xml:space="preserve"> type2: ""</v>
      </c>
      <c r="G191" t="str">
        <f>" location: """&amp;_xlfn.TEXTJOIN(" ",1,TRIM(MASTER!M192))&amp;""""</f>
        <v xml:space="preserve"> location: "Grassland Cave 👣"</v>
      </c>
      <c r="H191" t="e">
        <f>" evolve: """&amp;MASTER!#REF!&amp;""" }"</f>
        <v>#REF!</v>
      </c>
      <c r="I191" s="25" t="e">
        <f t="shared" si="5"/>
        <v>#REF!</v>
      </c>
    </row>
    <row r="192" spans="1:9" x14ac:dyDescent="0.2">
      <c r="A192" t="str">
        <f>"{ id: """&amp;MASTER!H193&amp;""""</f>
        <v>{ id: "192"</v>
      </c>
      <c r="B192" t="str">
        <f>" id2: """&amp;MASTER!G193&amp;""""</f>
        <v xml:space="preserve"> id2: ""</v>
      </c>
      <c r="C192" t="str">
        <f>" name: """&amp;MASTER!B193&amp;""""</f>
        <v xml:space="preserve"> name: "Sunflora"</v>
      </c>
      <c r="D192" t="str">
        <f t="shared" si="4"/>
        <v xml:space="preserve"> img: "sunflora.gif"</v>
      </c>
      <c r="E192" t="str">
        <f>" type1: """&amp;MASTER!C193&amp;""""</f>
        <v xml:space="preserve"> type1: "Grass"</v>
      </c>
      <c r="F192" t="str">
        <f>" type2: """&amp;MASTER!D193&amp;""""</f>
        <v xml:space="preserve"> type2: ""</v>
      </c>
      <c r="G192" t="str">
        <f>" location: """&amp;_xlfn.TEXTJOIN(" ",1,TRIM(MASTER!M193))&amp;""""</f>
        <v xml:space="preserve"> location: "None"</v>
      </c>
      <c r="H192" t="e">
        <f>" evolve: """&amp;MASTER!#REF!&amp;""" }"</f>
        <v>#REF!</v>
      </c>
      <c r="I192" s="25" t="e">
        <f t="shared" si="5"/>
        <v>#REF!</v>
      </c>
    </row>
    <row r="193" spans="1:9" x14ac:dyDescent="0.2">
      <c r="A193" t="str">
        <f>"{ id: """&amp;MASTER!H194&amp;""""</f>
        <v>{ id: "193"</v>
      </c>
      <c r="B193" t="str">
        <f>" id2: """&amp;MASTER!G194&amp;""""</f>
        <v xml:space="preserve"> id2: ""</v>
      </c>
      <c r="C193" t="str">
        <f>" name: """&amp;MASTER!B194&amp;""""</f>
        <v xml:space="preserve"> name: "Yanma"</v>
      </c>
      <c r="D193" t="str">
        <f t="shared" si="4"/>
        <v xml:space="preserve"> img: "yanma.gif"</v>
      </c>
      <c r="E193" t="str">
        <f>" type1: """&amp;MASTER!C194&amp;""""</f>
        <v xml:space="preserve"> type1: "Bug"</v>
      </c>
      <c r="F193" t="str">
        <f>" type2: """&amp;MASTER!D194&amp;""""</f>
        <v xml:space="preserve"> type2: "Flying"</v>
      </c>
      <c r="G193" t="str">
        <f>" location: """&amp;_xlfn.TEXTJOIN(" ",1,TRIM(MASTER!M194))&amp;""""</f>
        <v xml:space="preserve"> location: "Great Marsh (Special) 👣 3%"</v>
      </c>
      <c r="H193" t="e">
        <f>" evolve: """&amp;MASTER!#REF!&amp;""" }"</f>
        <v>#REF!</v>
      </c>
      <c r="I193" s="25" t="e">
        <f t="shared" si="5"/>
        <v>#REF!</v>
      </c>
    </row>
    <row r="194" spans="1:9" x14ac:dyDescent="0.2">
      <c r="A194" t="str">
        <f>"{ id: """&amp;MASTER!H195&amp;""""</f>
        <v>{ id: "194"</v>
      </c>
      <c r="B194" t="str">
        <f>" id2: """&amp;MASTER!G195&amp;""""</f>
        <v xml:space="preserve"> id2: "117"</v>
      </c>
      <c r="C194" t="str">
        <f>" name: """&amp;MASTER!B195&amp;""""</f>
        <v xml:space="preserve"> name: "Wooper"</v>
      </c>
      <c r="D194" t="str">
        <f t="shared" ref="D194:D257" si="6">" img: """&amp;LOWER(MID(C194,9,LEN(C194)-9))&amp;".gif"""</f>
        <v xml:space="preserve"> img: "wooper.gif"</v>
      </c>
      <c r="E194" t="str">
        <f>" type1: """&amp;MASTER!C195&amp;""""</f>
        <v xml:space="preserve"> type1: "Water"</v>
      </c>
      <c r="F194" t="str">
        <f>" type2: """&amp;MASTER!D195&amp;""""</f>
        <v xml:space="preserve"> type2: "Ground"</v>
      </c>
      <c r="G194" t="str">
        <f>" location: """&amp;_xlfn.TEXTJOIN(" ",1,TRIM(MASTER!M195))&amp;""""</f>
        <v xml:space="preserve"> location: "Swampy Cave (Know Defog) 👣"</v>
      </c>
      <c r="H194" t="e">
        <f>" evolve: """&amp;MASTER!#REF!&amp;""" }"</f>
        <v>#REF!</v>
      </c>
      <c r="I194" s="25" t="e">
        <f t="shared" ref="I194:I257" si="7">_xlfn.TEXTJOIN(",",1,A194:H194)&amp;","</f>
        <v>#REF!</v>
      </c>
    </row>
    <row r="195" spans="1:9" x14ac:dyDescent="0.2">
      <c r="A195" t="str">
        <f>"{ id: """&amp;MASTER!H196&amp;""""</f>
        <v>{ id: "195"</v>
      </c>
      <c r="B195" t="str">
        <f>" id2: """&amp;MASTER!G196&amp;""""</f>
        <v xml:space="preserve"> id2: "118"</v>
      </c>
      <c r="C195" t="str">
        <f>" name: """&amp;MASTER!B196&amp;""""</f>
        <v xml:space="preserve"> name: "Quagsire"</v>
      </c>
      <c r="D195" t="str">
        <f t="shared" si="6"/>
        <v xml:space="preserve"> img: "quagsire.gif"</v>
      </c>
      <c r="E195" t="str">
        <f>" type1: """&amp;MASTER!C196&amp;""""</f>
        <v xml:space="preserve"> type1: "Water"</v>
      </c>
      <c r="F195" t="str">
        <f>" type2: """&amp;MASTER!D196&amp;""""</f>
        <v xml:space="preserve"> type2: "Ground"</v>
      </c>
      <c r="G195" t="str">
        <f>" location: """&amp;_xlfn.TEXTJOIN(" ",1,TRIM(MASTER!M196))&amp;""""</f>
        <v xml:space="preserve"> location: "Swampy Cave (Know Defog) 👣"</v>
      </c>
      <c r="H195" t="e">
        <f>" evolve: """&amp;MASTER!#REF!&amp;""" }"</f>
        <v>#REF!</v>
      </c>
      <c r="I195" s="25" t="e">
        <f t="shared" si="7"/>
        <v>#REF!</v>
      </c>
    </row>
    <row r="196" spans="1:9" x14ac:dyDescent="0.2">
      <c r="A196" t="str">
        <f>"{ id: """&amp;MASTER!H197&amp;""""</f>
        <v>{ id: "196"</v>
      </c>
      <c r="B196" t="str">
        <f>" id2: """&amp;MASTER!G197&amp;""""</f>
        <v xml:space="preserve"> id2: ""</v>
      </c>
      <c r="C196" t="str">
        <f>" name: """&amp;MASTER!B197&amp;""""</f>
        <v xml:space="preserve"> name: "Espeon"</v>
      </c>
      <c r="D196" t="str">
        <f t="shared" si="6"/>
        <v xml:space="preserve"> img: "espeon.gif"</v>
      </c>
      <c r="E196" t="str">
        <f>" type1: """&amp;MASTER!C197&amp;""""</f>
        <v xml:space="preserve"> type1: "Psychic"</v>
      </c>
      <c r="F196" t="str">
        <f>" type2: """&amp;MASTER!D197&amp;""""</f>
        <v xml:space="preserve"> type2: ""</v>
      </c>
      <c r="G196" t="str">
        <f>" location: """&amp;_xlfn.TEXTJOIN(" ",1,TRIM(MASTER!M197))&amp;""""</f>
        <v xml:space="preserve"> location: "None"</v>
      </c>
      <c r="H196" t="e">
        <f>" evolve: """&amp;MASTER!#REF!&amp;""" }"</f>
        <v>#REF!</v>
      </c>
      <c r="I196" s="25" t="e">
        <f t="shared" si="7"/>
        <v>#REF!</v>
      </c>
    </row>
    <row r="197" spans="1:9" x14ac:dyDescent="0.2">
      <c r="A197" t="str">
        <f>"{ id: """&amp;MASTER!H198&amp;""""</f>
        <v>{ id: "197"</v>
      </c>
      <c r="B197" t="str">
        <f>" id2: """&amp;MASTER!G198&amp;""""</f>
        <v xml:space="preserve"> id2: ""</v>
      </c>
      <c r="C197" t="str">
        <f>" name: """&amp;MASTER!B198&amp;""""</f>
        <v xml:space="preserve"> name: "Umbreon"</v>
      </c>
      <c r="D197" t="str">
        <f t="shared" si="6"/>
        <v xml:space="preserve"> img: "umbreon.gif"</v>
      </c>
      <c r="E197" t="str">
        <f>" type1: """&amp;MASTER!C198&amp;""""</f>
        <v xml:space="preserve"> type1: "Dark"</v>
      </c>
      <c r="F197" t="str">
        <f>" type2: """&amp;MASTER!D198&amp;""""</f>
        <v xml:space="preserve"> type2: ""</v>
      </c>
      <c r="G197" t="str">
        <f>" location: """&amp;_xlfn.TEXTJOIN(" ",1,TRIM(MASTER!M198))&amp;""""</f>
        <v xml:space="preserve"> location: "None"</v>
      </c>
      <c r="H197" t="e">
        <f>" evolve: """&amp;MASTER!#REF!&amp;""" }"</f>
        <v>#REF!</v>
      </c>
      <c r="I197" s="25" t="e">
        <f t="shared" si="7"/>
        <v>#REF!</v>
      </c>
    </row>
    <row r="198" spans="1:9" x14ac:dyDescent="0.2">
      <c r="A198" t="str">
        <f>"{ id: """&amp;MASTER!H199&amp;""""</f>
        <v>{ id: "198"</v>
      </c>
      <c r="B198" t="str">
        <f>" id2: """&amp;MASTER!G199&amp;""""</f>
        <v xml:space="preserve"> id2: "074"</v>
      </c>
      <c r="C198" t="str">
        <f>" name: """&amp;MASTER!B199&amp;""""</f>
        <v xml:space="preserve"> name: "Murkrow"</v>
      </c>
      <c r="D198" t="str">
        <f t="shared" si="6"/>
        <v xml:space="preserve"> img: "murkrow.gif"</v>
      </c>
      <c r="E198" t="str">
        <f>" type1: """&amp;MASTER!C199&amp;""""</f>
        <v xml:space="preserve"> type1: "Dark"</v>
      </c>
      <c r="F198" t="str">
        <f>" type2: """&amp;MASTER!D199&amp;""""</f>
        <v xml:space="preserve"> type2: "Flying"</v>
      </c>
      <c r="G198" t="str">
        <f>" location: """&amp;_xlfn.TEXTJOIN(" ",1,TRIM(MASTER!M199))&amp;""""</f>
        <v xml:space="preserve"> location: "Spacious Cave 👣 💎only"</v>
      </c>
      <c r="H198" t="e">
        <f>" evolve: """&amp;MASTER!#REF!&amp;""" }"</f>
        <v>#REF!</v>
      </c>
      <c r="I198" s="25" t="e">
        <f t="shared" si="7"/>
        <v>#REF!</v>
      </c>
    </row>
    <row r="199" spans="1:9" x14ac:dyDescent="0.2">
      <c r="A199" t="str">
        <f>"{ id: """&amp;MASTER!H200&amp;""""</f>
        <v>{ id: "199"</v>
      </c>
      <c r="B199" t="str">
        <f>" id2: """&amp;MASTER!G200&amp;""""</f>
        <v xml:space="preserve"> id2: ""</v>
      </c>
      <c r="C199" t="str">
        <f>" name: """&amp;MASTER!B200&amp;""""</f>
        <v xml:space="preserve"> name: "Slowking"</v>
      </c>
      <c r="D199" t="str">
        <f t="shared" si="6"/>
        <v xml:space="preserve"> img: "slowking.gif"</v>
      </c>
      <c r="E199" t="str">
        <f>" type1: """&amp;MASTER!C200&amp;""""</f>
        <v xml:space="preserve"> type1: "Water"</v>
      </c>
      <c r="F199" t="str">
        <f>" type2: """&amp;MASTER!D200&amp;""""</f>
        <v xml:space="preserve"> type2: "Psychic"</v>
      </c>
      <c r="G199" t="str">
        <f>" location: """&amp;_xlfn.TEXTJOIN(" ",1,TRIM(MASTER!M200))&amp;""""</f>
        <v xml:space="preserve"> location: "None"</v>
      </c>
      <c r="H199" t="e">
        <f>" evolve: """&amp;MASTER!#REF!&amp;""" }"</f>
        <v>#REF!</v>
      </c>
      <c r="I199" s="25" t="e">
        <f t="shared" si="7"/>
        <v>#REF!</v>
      </c>
    </row>
    <row r="200" spans="1:9" x14ac:dyDescent="0.2">
      <c r="A200" t="str">
        <f>"{ id: """&amp;MASTER!H201&amp;""""</f>
        <v>{ id: "200"</v>
      </c>
      <c r="B200" t="str">
        <f>" id2: """&amp;MASTER!G201&amp;""""</f>
        <v xml:space="preserve"> id2: "072"</v>
      </c>
      <c r="C200" t="str">
        <f>" name: """&amp;MASTER!B201&amp;""""</f>
        <v xml:space="preserve"> name: "Misdreavus"</v>
      </c>
      <c r="D200" t="str">
        <f t="shared" si="6"/>
        <v xml:space="preserve"> img: "misdreavus.gif"</v>
      </c>
      <c r="E200" t="str">
        <f>" type1: """&amp;MASTER!C201&amp;""""</f>
        <v xml:space="preserve"> type1: "Ghost"</v>
      </c>
      <c r="F200" t="str">
        <f>" type2: """&amp;MASTER!D201&amp;""""</f>
        <v xml:space="preserve"> type2: ""</v>
      </c>
      <c r="G200" t="str">
        <f>" location: """&amp;_xlfn.TEXTJOIN(" ",1,TRIM(MASTER!M201))&amp;""""</f>
        <v xml:space="preserve"> location: "Dazzling Cave 👣 ⚪only"</v>
      </c>
      <c r="H200" t="e">
        <f>" evolve: """&amp;MASTER!#REF!&amp;""" }"</f>
        <v>#REF!</v>
      </c>
      <c r="I200" s="25" t="e">
        <f t="shared" si="7"/>
        <v>#REF!</v>
      </c>
    </row>
    <row r="201" spans="1:9" x14ac:dyDescent="0.2">
      <c r="A201" t="str">
        <f>"{ id: """&amp;MASTER!H202&amp;""""</f>
        <v>{ id: "201"</v>
      </c>
      <c r="B201" t="str">
        <f>" id2: """&amp;MASTER!G202&amp;""""</f>
        <v xml:space="preserve"> id2: "114"</v>
      </c>
      <c r="C201" t="str">
        <f>" name: """&amp;MASTER!B202&amp;""""</f>
        <v xml:space="preserve"> name: "Unown"</v>
      </c>
      <c r="D201" t="str">
        <f t="shared" si="6"/>
        <v xml:space="preserve"> img: "unown.gif"</v>
      </c>
      <c r="E201" t="str">
        <f>" type1: """&amp;MASTER!C202&amp;""""</f>
        <v xml:space="preserve"> type1: "Psychic"</v>
      </c>
      <c r="F201" t="str">
        <f>" type2: """&amp;MASTER!D202&amp;""""</f>
        <v xml:space="preserve"> type2: ""</v>
      </c>
      <c r="G201" t="str">
        <f>" location: """&amp;_xlfn.TEXTJOIN(" ",1,TRIM(MASTER!M202))&amp;""""</f>
        <v xml:space="preserve"> location: "Solaceon Ruins 👣"</v>
      </c>
      <c r="H201" t="e">
        <f>" evolve: """&amp;MASTER!#REF!&amp;""" }"</f>
        <v>#REF!</v>
      </c>
      <c r="I201" s="25" t="e">
        <f t="shared" si="7"/>
        <v>#REF!</v>
      </c>
    </row>
    <row r="202" spans="1:9" x14ac:dyDescent="0.2">
      <c r="A202" t="str">
        <f>"{ id: """&amp;MASTER!H203&amp;""""</f>
        <v>{ id: "202"</v>
      </c>
      <c r="B202" t="str">
        <f>" id2: """&amp;MASTER!G203&amp;""""</f>
        <v xml:space="preserve"> id2: ""</v>
      </c>
      <c r="C202" t="str">
        <f>" name: """&amp;MASTER!B203&amp;""""</f>
        <v xml:space="preserve"> name: "Wobbuffet"</v>
      </c>
      <c r="D202" t="str">
        <f t="shared" si="6"/>
        <v xml:space="preserve"> img: "wobbuffet.gif"</v>
      </c>
      <c r="E202" t="str">
        <f>" type1: """&amp;MASTER!C203&amp;""""</f>
        <v xml:space="preserve"> type1: "Psychic"</v>
      </c>
      <c r="F202" t="str">
        <f>" type2: """&amp;MASTER!D203&amp;""""</f>
        <v xml:space="preserve"> type2: ""</v>
      </c>
      <c r="G202" t="str">
        <f>" location: """&amp;_xlfn.TEXTJOIN(" ",1,TRIM(MASTER!M203))&amp;""""</f>
        <v xml:space="preserve"> location: "Dazzling Cave 👣"</v>
      </c>
      <c r="H202" t="e">
        <f>" evolve: """&amp;MASTER!#REF!&amp;""" }"</f>
        <v>#REF!</v>
      </c>
      <c r="I202" s="25" t="e">
        <f t="shared" si="7"/>
        <v>#REF!</v>
      </c>
    </row>
    <row r="203" spans="1:9" x14ac:dyDescent="0.2">
      <c r="A203" t="str">
        <f>"{ id: """&amp;MASTER!H204&amp;""""</f>
        <v>{ id: "203"</v>
      </c>
      <c r="B203" t="str">
        <f>" id2: """&amp;MASTER!G204&amp;""""</f>
        <v xml:space="preserve"> id2: "121"</v>
      </c>
      <c r="C203" t="str">
        <f>" name: """&amp;MASTER!B204&amp;""""</f>
        <v xml:space="preserve"> name: "Girafarig"</v>
      </c>
      <c r="D203" t="str">
        <f t="shared" si="6"/>
        <v xml:space="preserve"> img: "girafarig.gif"</v>
      </c>
      <c r="E203" t="str">
        <f>" type1: """&amp;MASTER!C204&amp;""""</f>
        <v xml:space="preserve"> type1: "Normal"</v>
      </c>
      <c r="F203" t="str">
        <f>" type2: """&amp;MASTER!D204&amp;""""</f>
        <v xml:space="preserve"> type2: "Psychic"</v>
      </c>
      <c r="G203" t="str">
        <f>" location: """&amp;_xlfn.TEXTJOIN(" ",1,TRIM(MASTER!M204))&amp;""""</f>
        <v xml:space="preserve"> location: "Dazzling Cave (Know Defog) 👣"</v>
      </c>
      <c r="H203" t="e">
        <f>" evolve: """&amp;MASTER!#REF!&amp;""" }"</f>
        <v>#REF!</v>
      </c>
      <c r="I203" s="25" t="e">
        <f t="shared" si="7"/>
        <v>#REF!</v>
      </c>
    </row>
    <row r="204" spans="1:9" x14ac:dyDescent="0.2">
      <c r="A204" t="str">
        <f>"{ id: """&amp;MASTER!H205&amp;""""</f>
        <v>{ id: "204"</v>
      </c>
      <c r="B204" t="str">
        <f>" id2: """&amp;MASTER!G205&amp;""""</f>
        <v xml:space="preserve"> id2: ""</v>
      </c>
      <c r="C204" t="str">
        <f>" name: """&amp;MASTER!B205&amp;""""</f>
        <v xml:space="preserve"> name: "Pineco"</v>
      </c>
      <c r="D204" t="str">
        <f t="shared" si="6"/>
        <v xml:space="preserve"> img: "pineco.gif"</v>
      </c>
      <c r="E204" t="str">
        <f>" type1: """&amp;MASTER!C205&amp;""""</f>
        <v xml:space="preserve"> type1: "Bug"</v>
      </c>
      <c r="F204" t="str">
        <f>" type2: """&amp;MASTER!D205&amp;""""</f>
        <v xml:space="preserve"> type2: ""</v>
      </c>
      <c r="G204" t="str">
        <f>" location: """&amp;_xlfn.TEXTJOIN(" ",1,TRIM(MASTER!M205))&amp;""""</f>
        <v xml:space="preserve"> location: "Grassland Cave 👣"</v>
      </c>
      <c r="H204" t="e">
        <f>" evolve: """&amp;MASTER!#REF!&amp;""" }"</f>
        <v>#REF!</v>
      </c>
      <c r="I204" s="25" t="e">
        <f t="shared" si="7"/>
        <v>#REF!</v>
      </c>
    </row>
    <row r="205" spans="1:9" x14ac:dyDescent="0.2">
      <c r="A205" t="str">
        <f>"{ id: """&amp;MASTER!H206&amp;""""</f>
        <v>{ id: "205"</v>
      </c>
      <c r="B205" t="str">
        <f>" id2: """&amp;MASTER!G206&amp;""""</f>
        <v xml:space="preserve"> id2: ""</v>
      </c>
      <c r="C205" t="str">
        <f>" name: """&amp;MASTER!B206&amp;""""</f>
        <v xml:space="preserve"> name: "Forretress"</v>
      </c>
      <c r="D205" t="str">
        <f t="shared" si="6"/>
        <v xml:space="preserve"> img: "forretress.gif"</v>
      </c>
      <c r="E205" t="str">
        <f>" type1: """&amp;MASTER!C206&amp;""""</f>
        <v xml:space="preserve"> type1: "Bug"</v>
      </c>
      <c r="F205" t="str">
        <f>" type2: """&amp;MASTER!D206&amp;""""</f>
        <v xml:space="preserve"> type2: "Steel"</v>
      </c>
      <c r="G205" t="str">
        <f>" location: """&amp;_xlfn.TEXTJOIN(" ",1,TRIM(MASTER!M206))&amp;""""</f>
        <v xml:space="preserve"> location: "None"</v>
      </c>
      <c r="H205" t="e">
        <f>" evolve: """&amp;MASTER!#REF!&amp;""" }"</f>
        <v>#REF!</v>
      </c>
      <c r="I205" s="25" t="e">
        <f t="shared" si="7"/>
        <v>#REF!</v>
      </c>
    </row>
    <row r="206" spans="1:9" x14ac:dyDescent="0.2">
      <c r="A206" t="str">
        <f>"{ id: """&amp;MASTER!H207&amp;""""</f>
        <v>{ id: "206"</v>
      </c>
      <c r="B206" t="str">
        <f>" id2: """&amp;MASTER!G207&amp;""""</f>
        <v xml:space="preserve"> id2: ""</v>
      </c>
      <c r="C206" t="str">
        <f>" name: """&amp;MASTER!B207&amp;""""</f>
        <v xml:space="preserve"> name: "Dunsparce"</v>
      </c>
      <c r="D206" t="str">
        <f t="shared" si="6"/>
        <v xml:space="preserve"> img: "dunsparce.gif"</v>
      </c>
      <c r="E206" t="str">
        <f>" type1: """&amp;MASTER!C207&amp;""""</f>
        <v xml:space="preserve"> type1: "Normal"</v>
      </c>
      <c r="F206" t="str">
        <f>" type2: """&amp;MASTER!D207&amp;""""</f>
        <v xml:space="preserve"> type2: ""</v>
      </c>
      <c r="G206" t="str">
        <f>" location: """&amp;_xlfn.TEXTJOIN(" ",1,TRIM(MASTER!M207))&amp;""""</f>
        <v xml:space="preserve"> location: "Route 208 🐝"</v>
      </c>
      <c r="H206" t="e">
        <f>" evolve: """&amp;MASTER!#REF!&amp;""" }"</f>
        <v>#REF!</v>
      </c>
      <c r="I206" s="25" t="e">
        <f t="shared" si="7"/>
        <v>#REF!</v>
      </c>
    </row>
    <row r="207" spans="1:9" x14ac:dyDescent="0.2">
      <c r="A207" t="str">
        <f>"{ id: """&amp;MASTER!H208&amp;""""</f>
        <v>{ id: "207"</v>
      </c>
      <c r="B207" t="str">
        <f>" id2: """&amp;MASTER!G208&amp;""""</f>
        <v xml:space="preserve"> id2: ""</v>
      </c>
      <c r="C207" t="str">
        <f>" name: """&amp;MASTER!B208&amp;""""</f>
        <v xml:space="preserve"> name: "Gligar"</v>
      </c>
      <c r="D207" t="str">
        <f t="shared" si="6"/>
        <v xml:space="preserve"> img: "gligar.gif"</v>
      </c>
      <c r="E207" t="str">
        <f>" type1: """&amp;MASTER!C208&amp;""""</f>
        <v xml:space="preserve"> type1: "Ground"</v>
      </c>
      <c r="F207" t="str">
        <f>" type2: """&amp;MASTER!D208&amp;""""</f>
        <v xml:space="preserve"> type2: "Flying"</v>
      </c>
      <c r="G207" t="str">
        <f>" location: """&amp;_xlfn.TEXTJOIN(" ",1,TRIM(MASTER!M208))&amp;""""</f>
        <v xml:space="preserve"> location: "Big Bluff Cavern 👣 💎only"</v>
      </c>
      <c r="H207" t="e">
        <f>" evolve: """&amp;MASTER!#REF!&amp;""" }"</f>
        <v>#REF!</v>
      </c>
      <c r="I207" s="25" t="e">
        <f t="shared" si="7"/>
        <v>#REF!</v>
      </c>
    </row>
    <row r="208" spans="1:9" x14ac:dyDescent="0.2">
      <c r="A208" t="str">
        <f>"{ id: """&amp;MASTER!H209&amp;""""</f>
        <v>{ id: "208"</v>
      </c>
      <c r="B208" t="str">
        <f>" id2: """&amp;MASTER!G209&amp;""""</f>
        <v xml:space="preserve"> id2: "035"</v>
      </c>
      <c r="C208" t="str">
        <f>" name: """&amp;MASTER!B209&amp;""""</f>
        <v xml:space="preserve"> name: "Steelix"</v>
      </c>
      <c r="D208" t="str">
        <f t="shared" si="6"/>
        <v xml:space="preserve"> img: "steelix.gif"</v>
      </c>
      <c r="E208" t="str">
        <f>" type1: """&amp;MASTER!C209&amp;""""</f>
        <v xml:space="preserve"> type1: "Steel"</v>
      </c>
      <c r="F208" t="str">
        <f>" type2: """&amp;MASTER!D209&amp;""""</f>
        <v xml:space="preserve"> type2: "Ground"</v>
      </c>
      <c r="G208" t="str">
        <f>" location: """&amp;_xlfn.TEXTJOIN(" ",1,TRIM(MASTER!M209))&amp;""""</f>
        <v xml:space="preserve"> location: "Snowpoint Temple B4F 👣 20%"</v>
      </c>
      <c r="H208" t="e">
        <f>" evolve: """&amp;MASTER!#REF!&amp;""" }"</f>
        <v>#REF!</v>
      </c>
      <c r="I208" s="25" t="e">
        <f t="shared" si="7"/>
        <v>#REF!</v>
      </c>
    </row>
    <row r="209" spans="1:9" x14ac:dyDescent="0.2">
      <c r="A209" t="str">
        <f>"{ id: """&amp;MASTER!H210&amp;""""</f>
        <v>{ id: "209"</v>
      </c>
      <c r="B209" t="str">
        <f>" id2: """&amp;MASTER!G210&amp;""""</f>
        <v xml:space="preserve"> id2: ""</v>
      </c>
      <c r="C209" t="str">
        <f>" name: """&amp;MASTER!B210&amp;""""</f>
        <v xml:space="preserve"> name: "Snubbull"</v>
      </c>
      <c r="D209" t="str">
        <f t="shared" si="6"/>
        <v xml:space="preserve"> img: "snubbull.gif"</v>
      </c>
      <c r="E209" t="str">
        <f>" type1: """&amp;MASTER!C210&amp;""""</f>
        <v xml:space="preserve"> type1: "Fairy"</v>
      </c>
      <c r="F209" t="str">
        <f>" type2: """&amp;MASTER!D210&amp;""""</f>
        <v xml:space="preserve"> type2: ""</v>
      </c>
      <c r="G209" t="str">
        <f>" location: """&amp;_xlfn.TEXTJOIN(" ",1,TRIM(MASTER!M210))&amp;""""</f>
        <v xml:space="preserve"> location: "Dazzling Cave 👣"</v>
      </c>
      <c r="H209" t="e">
        <f>" evolve: """&amp;MASTER!#REF!&amp;""" }"</f>
        <v>#REF!</v>
      </c>
      <c r="I209" s="25" t="e">
        <f t="shared" si="7"/>
        <v>#REF!</v>
      </c>
    </row>
    <row r="210" spans="1:9" x14ac:dyDescent="0.2">
      <c r="A210" t="str">
        <f>"{ id: """&amp;MASTER!H211&amp;""""</f>
        <v>{ id: "210"</v>
      </c>
      <c r="B210" t="str">
        <f>" id2: """&amp;MASTER!G211&amp;""""</f>
        <v xml:space="preserve"> id2: ""</v>
      </c>
      <c r="C210" t="str">
        <f>" name: """&amp;MASTER!B211&amp;""""</f>
        <v xml:space="preserve"> name: "Granbull"</v>
      </c>
      <c r="D210" t="str">
        <f t="shared" si="6"/>
        <v xml:space="preserve"> img: "granbull.gif"</v>
      </c>
      <c r="E210" t="str">
        <f>" type1: """&amp;MASTER!C211&amp;""""</f>
        <v xml:space="preserve"> type1: "Fairy"</v>
      </c>
      <c r="F210" t="str">
        <f>" type2: """&amp;MASTER!D211&amp;""""</f>
        <v xml:space="preserve"> type2: ""</v>
      </c>
      <c r="G210" t="str">
        <f>" location: """&amp;_xlfn.TEXTJOIN(" ",1,TRIM(MASTER!M211))&amp;""""</f>
        <v xml:space="preserve"> location: "None"</v>
      </c>
      <c r="H210" t="e">
        <f>" evolve: """&amp;MASTER!#REF!&amp;""" }"</f>
        <v>#REF!</v>
      </c>
      <c r="I210" s="25" t="e">
        <f t="shared" si="7"/>
        <v>#REF!</v>
      </c>
    </row>
    <row r="211" spans="1:9" x14ac:dyDescent="0.2">
      <c r="A211" t="str">
        <f>"{ id: """&amp;MASTER!H212&amp;""""</f>
        <v>{ id: "211"</v>
      </c>
      <c r="B211" t="str">
        <f>" id2: """&amp;MASTER!G212&amp;""""</f>
        <v xml:space="preserve"> id2: ""</v>
      </c>
      <c r="C211" t="str">
        <f>" name: """&amp;MASTER!B212&amp;""""</f>
        <v xml:space="preserve"> name: "Qwilfish"</v>
      </c>
      <c r="D211" t="str">
        <f t="shared" si="6"/>
        <v xml:space="preserve"> img: "qwilfish.gif"</v>
      </c>
      <c r="E211" t="str">
        <f>" type1: """&amp;MASTER!C212&amp;""""</f>
        <v xml:space="preserve"> type1: "Water"</v>
      </c>
      <c r="F211" t="str">
        <f>" type2: """&amp;MASTER!D212&amp;""""</f>
        <v xml:space="preserve"> type2: "Poison"</v>
      </c>
      <c r="G211" t="str">
        <f>" location: """&amp;_xlfn.TEXTJOIN(" ",1,TRIM(MASTER!M212))&amp;""""</f>
        <v xml:space="preserve"> location: "Fountainspring Cave 👣"</v>
      </c>
      <c r="H211" t="e">
        <f>" evolve: """&amp;MASTER!#REF!&amp;""" }"</f>
        <v>#REF!</v>
      </c>
      <c r="I211" s="25" t="e">
        <f t="shared" si="7"/>
        <v>#REF!</v>
      </c>
    </row>
    <row r="212" spans="1:9" x14ac:dyDescent="0.2">
      <c r="A212" t="str">
        <f>"{ id: """&amp;MASTER!H213&amp;""""</f>
        <v>{ id: "212"</v>
      </c>
      <c r="B212" t="str">
        <f>" id2: """&amp;MASTER!G213&amp;""""</f>
        <v xml:space="preserve"> id2: ""</v>
      </c>
      <c r="C212" t="str">
        <f>" name: """&amp;MASTER!B213&amp;""""</f>
        <v xml:space="preserve"> name: "Scizor"</v>
      </c>
      <c r="D212" t="str">
        <f t="shared" si="6"/>
        <v xml:space="preserve"> img: "scizor.gif"</v>
      </c>
      <c r="E212" t="str">
        <f>" type1: """&amp;MASTER!C213&amp;""""</f>
        <v xml:space="preserve"> type1: "Bug"</v>
      </c>
      <c r="F212" t="str">
        <f>" type2: """&amp;MASTER!D213&amp;""""</f>
        <v xml:space="preserve"> type2: "Steel"</v>
      </c>
      <c r="G212" t="str">
        <f>" location: """&amp;_xlfn.TEXTJOIN(" ",1,TRIM(MASTER!M213))&amp;""""</f>
        <v xml:space="preserve"> location: "None"</v>
      </c>
      <c r="H212" t="e">
        <f>" evolve: """&amp;MASTER!#REF!&amp;""" }"</f>
        <v>#REF!</v>
      </c>
      <c r="I212" s="25" t="e">
        <f t="shared" si="7"/>
        <v>#REF!</v>
      </c>
    </row>
    <row r="213" spans="1:9" x14ac:dyDescent="0.2">
      <c r="A213" t="str">
        <f>"{ id: """&amp;MASTER!H214&amp;""""</f>
        <v>{ id: "213"</v>
      </c>
      <c r="B213" t="str">
        <f>" id2: """&amp;MASTER!G214&amp;""""</f>
        <v xml:space="preserve"> id2: ""</v>
      </c>
      <c r="C213" t="str">
        <f>" name: """&amp;MASTER!B214&amp;""""</f>
        <v xml:space="preserve"> name: "Shuckle"</v>
      </c>
      <c r="D213" t="str">
        <f t="shared" si="6"/>
        <v xml:space="preserve"> img: "shuckle.gif"</v>
      </c>
      <c r="E213" t="str">
        <f>" type1: """&amp;MASTER!C214&amp;""""</f>
        <v xml:space="preserve"> type1: "Bug"</v>
      </c>
      <c r="F213" t="str">
        <f>" type2: """&amp;MASTER!D214&amp;""""</f>
        <v xml:space="preserve"> type2: "Rock"</v>
      </c>
      <c r="G213" t="str">
        <f>" location: """&amp;_xlfn.TEXTJOIN(" ",1,TRIM(MASTER!M214))&amp;""""</f>
        <v xml:space="preserve"> location: "Grassland Cave 👣"</v>
      </c>
      <c r="H213" t="e">
        <f>" evolve: """&amp;MASTER!#REF!&amp;""" }"</f>
        <v>#REF!</v>
      </c>
      <c r="I213" s="25" t="e">
        <f t="shared" si="7"/>
        <v>#REF!</v>
      </c>
    </row>
    <row r="214" spans="1:9" x14ac:dyDescent="0.2">
      <c r="A214" t="str">
        <f>"{ id: """&amp;MASTER!H215&amp;""""</f>
        <v>{ id: "214"</v>
      </c>
      <c r="B214" t="str">
        <f>" id2: """&amp;MASTER!G215&amp;""""</f>
        <v xml:space="preserve"> id2: "062"</v>
      </c>
      <c r="C214" t="str">
        <f>" name: """&amp;MASTER!B215&amp;""""</f>
        <v xml:space="preserve"> name: "Heracross"</v>
      </c>
      <c r="D214" t="str">
        <f t="shared" si="6"/>
        <v xml:space="preserve"> img: "heracross.gif"</v>
      </c>
      <c r="E214" t="str">
        <f>" type1: """&amp;MASTER!C215&amp;""""</f>
        <v xml:space="preserve"> type1: "Bug"</v>
      </c>
      <c r="F214" t="str">
        <f>" type2: """&amp;MASTER!D215&amp;""""</f>
        <v xml:space="preserve"> type2: "Fighting"</v>
      </c>
      <c r="G214" t="str">
        <f>" location: """&amp;_xlfn.TEXTJOIN(" ",1,TRIM(MASTER!M215))&amp;""""</f>
        <v xml:space="preserve"> location: "Route 205 – 215 🌳 1%"</v>
      </c>
      <c r="H214" t="e">
        <f>" evolve: """&amp;MASTER!#REF!&amp;""" }"</f>
        <v>#REF!</v>
      </c>
      <c r="I214" s="25" t="e">
        <f t="shared" si="7"/>
        <v>#REF!</v>
      </c>
    </row>
    <row r="215" spans="1:9" x14ac:dyDescent="0.2">
      <c r="A215" t="str">
        <f>"{ id: """&amp;MASTER!H216&amp;""""</f>
        <v>{ id: "215"</v>
      </c>
      <c r="B215" t="str">
        <f>" id2: """&amp;MASTER!G216&amp;""""</f>
        <v xml:space="preserve"> id2: "144"</v>
      </c>
      <c r="C215" t="str">
        <f>" name: """&amp;MASTER!B216&amp;""""</f>
        <v xml:space="preserve"> name: "Sneasel"</v>
      </c>
      <c r="D215" t="str">
        <f t="shared" si="6"/>
        <v xml:space="preserve"> img: "sneasel.gif"</v>
      </c>
      <c r="E215" t="str">
        <f>" type1: """&amp;MASTER!C216&amp;""""</f>
        <v xml:space="preserve"> type1: "Dark"</v>
      </c>
      <c r="F215" t="str">
        <f>" type2: """&amp;MASTER!D216&amp;""""</f>
        <v xml:space="preserve"> type2: "Ice"</v>
      </c>
      <c r="G215" t="str">
        <f>" location: """&amp;_xlfn.TEXTJOIN(" ",1,TRIM(MASTER!M216))&amp;""""</f>
        <v xml:space="preserve"> location: "Snowpoint Temple 1F 👣"</v>
      </c>
      <c r="H215" t="e">
        <f>" evolve: """&amp;MASTER!#REF!&amp;""" }"</f>
        <v>#REF!</v>
      </c>
      <c r="I215" s="25" t="e">
        <f t="shared" si="7"/>
        <v>#REF!</v>
      </c>
    </row>
    <row r="216" spans="1:9" x14ac:dyDescent="0.2">
      <c r="A216" t="str">
        <f>"{ id: """&amp;MASTER!H217&amp;""""</f>
        <v>{ id: "216"</v>
      </c>
      <c r="B216" t="str">
        <f>" id2: """&amp;MASTER!G217&amp;""""</f>
        <v xml:space="preserve"> id2: ""</v>
      </c>
      <c r="C216" t="str">
        <f>" name: """&amp;MASTER!B217&amp;""""</f>
        <v xml:space="preserve"> name: "Teddiursa"</v>
      </c>
      <c r="D216" t="str">
        <f t="shared" si="6"/>
        <v xml:space="preserve"> img: "teddiursa.gif"</v>
      </c>
      <c r="E216" t="str">
        <f>" type1: """&amp;MASTER!C217&amp;""""</f>
        <v xml:space="preserve"> type1: "Normal"</v>
      </c>
      <c r="F216" t="str">
        <f>" type2: """&amp;MASTER!D217&amp;""""</f>
        <v xml:space="preserve"> type2: ""</v>
      </c>
      <c r="G216" t="str">
        <f>" location: """&amp;_xlfn.TEXTJOIN(" ",1,TRIM(MASTER!M217))&amp;""""</f>
        <v xml:space="preserve"> location: "Spacious Cave ⚪only"</v>
      </c>
      <c r="H216" t="e">
        <f>" evolve: """&amp;MASTER!#REF!&amp;""" }"</f>
        <v>#REF!</v>
      </c>
      <c r="I216" s="25" t="e">
        <f t="shared" si="7"/>
        <v>#REF!</v>
      </c>
    </row>
    <row r="217" spans="1:9" x14ac:dyDescent="0.2">
      <c r="A217" t="str">
        <f>"{ id: """&amp;MASTER!H218&amp;""""</f>
        <v>{ id: "217"</v>
      </c>
      <c r="B217" t="str">
        <f>" id2: """&amp;MASTER!G218&amp;""""</f>
        <v xml:space="preserve"> id2: ""</v>
      </c>
      <c r="C217" t="str">
        <f>" name: """&amp;MASTER!B218&amp;""""</f>
        <v xml:space="preserve"> name: "Ursaring"</v>
      </c>
      <c r="D217" t="str">
        <f t="shared" si="6"/>
        <v xml:space="preserve"> img: "ursaring.gif"</v>
      </c>
      <c r="E217" t="str">
        <f>" type1: """&amp;MASTER!C218&amp;""""</f>
        <v xml:space="preserve"> type1: "Normal"</v>
      </c>
      <c r="F217" t="str">
        <f>" type2: """&amp;MASTER!D218&amp;""""</f>
        <v xml:space="preserve"> type2: ""</v>
      </c>
      <c r="G217" t="str">
        <f>" location: """&amp;_xlfn.TEXTJOIN(" ",1,TRIM(MASTER!M218))&amp;""""</f>
        <v xml:space="preserve"> location: "None"</v>
      </c>
      <c r="H217" t="e">
        <f>" evolve: """&amp;MASTER!#REF!&amp;""" }"</f>
        <v>#REF!</v>
      </c>
      <c r="I217" s="25" t="e">
        <f t="shared" si="7"/>
        <v>#REF!</v>
      </c>
    </row>
    <row r="218" spans="1:9" x14ac:dyDescent="0.2">
      <c r="A218" t="str">
        <f>"{ id: """&amp;MASTER!H219&amp;""""</f>
        <v>{ id: "218"</v>
      </c>
      <c r="B218" t="str">
        <f>" id2: """&amp;MASTER!G219&amp;""""</f>
        <v xml:space="preserve"> id2: ""</v>
      </c>
      <c r="C218" t="str">
        <f>" name: """&amp;MASTER!B219&amp;""""</f>
        <v xml:space="preserve"> name: "Slugma"</v>
      </c>
      <c r="D218" t="str">
        <f t="shared" si="6"/>
        <v xml:space="preserve"> img: "slugma.gif"</v>
      </c>
      <c r="E218" t="str">
        <f>" type1: """&amp;MASTER!C219&amp;""""</f>
        <v xml:space="preserve"> type1: "Fire"</v>
      </c>
      <c r="F218" t="str">
        <f>" type2: """&amp;MASTER!D219&amp;""""</f>
        <v xml:space="preserve"> type2: ""</v>
      </c>
      <c r="G218" t="str">
        <f>" location: """&amp;_xlfn.TEXTJOIN(" ",1,TRIM(MASTER!M219))&amp;""""</f>
        <v xml:space="preserve"> location: "Volcanic Cave 👣"</v>
      </c>
      <c r="H218" t="e">
        <f>" evolve: """&amp;MASTER!#REF!&amp;""" }"</f>
        <v>#REF!</v>
      </c>
      <c r="I218" s="25" t="e">
        <f t="shared" si="7"/>
        <v>#REF!</v>
      </c>
    </row>
    <row r="219" spans="1:9" x14ac:dyDescent="0.2">
      <c r="A219" t="str">
        <f>"{ id: """&amp;MASTER!H220&amp;""""</f>
        <v>{ id: "219"</v>
      </c>
      <c r="B219" t="str">
        <f>" id2: """&amp;MASTER!G220&amp;""""</f>
        <v xml:space="preserve"> id2: ""</v>
      </c>
      <c r="C219" t="str">
        <f>" name: """&amp;MASTER!B220&amp;""""</f>
        <v xml:space="preserve"> name: "Magcargo"</v>
      </c>
      <c r="D219" t="str">
        <f t="shared" si="6"/>
        <v xml:space="preserve"> img: "magcargo.gif"</v>
      </c>
      <c r="E219" t="str">
        <f>" type1: """&amp;MASTER!C220&amp;""""</f>
        <v xml:space="preserve"> type1: "Fire"</v>
      </c>
      <c r="F219" t="str">
        <f>" type2: """&amp;MASTER!D220&amp;""""</f>
        <v xml:space="preserve"> type2: "Rock"</v>
      </c>
      <c r="G219" t="str">
        <f>" location: """&amp;_xlfn.TEXTJOIN(" ",1,TRIM(MASTER!M220))&amp;""""</f>
        <v xml:space="preserve"> location: "Volcanic Cave 👣"</v>
      </c>
      <c r="H219" t="e">
        <f>" evolve: """&amp;MASTER!#REF!&amp;""" }"</f>
        <v>#REF!</v>
      </c>
      <c r="I219" s="25" t="e">
        <f t="shared" si="7"/>
        <v>#REF!</v>
      </c>
    </row>
    <row r="220" spans="1:9" x14ac:dyDescent="0.2">
      <c r="A220" t="str">
        <f>"{ id: """&amp;MASTER!H221&amp;""""</f>
        <v>{ id: "220"</v>
      </c>
      <c r="B220" t="str">
        <f>" id2: """&amp;MASTER!G221&amp;""""</f>
        <v xml:space="preserve"> id2: ""</v>
      </c>
      <c r="C220" t="str">
        <f>" name: """&amp;MASTER!B221&amp;""""</f>
        <v xml:space="preserve"> name: "Swinub"</v>
      </c>
      <c r="D220" t="str">
        <f t="shared" si="6"/>
        <v xml:space="preserve"> img: "swinub.gif"</v>
      </c>
      <c r="E220" t="str">
        <f>" type1: """&amp;MASTER!C221&amp;""""</f>
        <v xml:space="preserve"> type1: "Ice"</v>
      </c>
      <c r="F220" t="str">
        <f>" type2: """&amp;MASTER!D221&amp;""""</f>
        <v xml:space="preserve"> type2: "Ground"</v>
      </c>
      <c r="G220" t="str">
        <f>" location: """&amp;_xlfn.TEXTJOIN(" ",1,TRIM(MASTER!M221))&amp;""""</f>
        <v xml:space="preserve"> location: "Swampy Cave 👣"</v>
      </c>
      <c r="H220" t="e">
        <f>" evolve: """&amp;MASTER!#REF!&amp;""" }"</f>
        <v>#REF!</v>
      </c>
      <c r="I220" s="25" t="e">
        <f t="shared" si="7"/>
        <v>#REF!</v>
      </c>
    </row>
    <row r="221" spans="1:9" x14ac:dyDescent="0.2">
      <c r="A221" t="str">
        <f>"{ id: """&amp;MASTER!H222&amp;""""</f>
        <v>{ id: "221"</v>
      </c>
      <c r="B221" t="str">
        <f>" id2: """&amp;MASTER!G222&amp;""""</f>
        <v xml:space="preserve"> id2: ""</v>
      </c>
      <c r="C221" t="str">
        <f>" name: """&amp;MASTER!B222&amp;""""</f>
        <v xml:space="preserve"> name: "Piloswine"</v>
      </c>
      <c r="D221" t="str">
        <f t="shared" si="6"/>
        <v xml:space="preserve"> img: "piloswine.gif"</v>
      </c>
      <c r="E221" t="str">
        <f>" type1: """&amp;MASTER!C222&amp;""""</f>
        <v xml:space="preserve"> type1: "Ice"</v>
      </c>
      <c r="F221" t="str">
        <f>" type2: """&amp;MASTER!D222&amp;""""</f>
        <v xml:space="preserve"> type2: "Ground"</v>
      </c>
      <c r="G221" t="str">
        <f>" location: """&amp;_xlfn.TEXTJOIN(" ",1,TRIM(MASTER!M222))&amp;""""</f>
        <v xml:space="preserve"> location: "None"</v>
      </c>
      <c r="H221" t="e">
        <f>" evolve: """&amp;MASTER!#REF!&amp;""" }"</f>
        <v>#REF!</v>
      </c>
      <c r="I221" s="25" t="e">
        <f t="shared" si="7"/>
        <v>#REF!</v>
      </c>
    </row>
    <row r="222" spans="1:9" x14ac:dyDescent="0.2">
      <c r="A222" t="str">
        <f>"{ id: """&amp;MASTER!H223&amp;""""</f>
        <v>{ id: "222"</v>
      </c>
      <c r="B222" t="str">
        <f>" id2: """&amp;MASTER!G223&amp;""""</f>
        <v xml:space="preserve"> id2: ""</v>
      </c>
      <c r="C222" t="str">
        <f>" name: """&amp;MASTER!B223&amp;""""</f>
        <v xml:space="preserve"> name: "Corsola"</v>
      </c>
      <c r="D222" t="str">
        <f t="shared" si="6"/>
        <v xml:space="preserve"> img: "corsola.gif"</v>
      </c>
      <c r="E222" t="str">
        <f>" type1: """&amp;MASTER!C223&amp;""""</f>
        <v xml:space="preserve"> type1: "Water"</v>
      </c>
      <c r="F222" t="str">
        <f>" type2: """&amp;MASTER!D223&amp;""""</f>
        <v xml:space="preserve"> type2: "Rock"</v>
      </c>
      <c r="G222" t="str">
        <f>" location: """&amp;_xlfn.TEXTJOIN(" ",1,TRIM(MASTER!M223))&amp;""""</f>
        <v xml:space="preserve"> location: "Fountainspring Cave 👣"</v>
      </c>
      <c r="H222" t="e">
        <f>" evolve: """&amp;MASTER!#REF!&amp;""" }"</f>
        <v>#REF!</v>
      </c>
      <c r="I222" s="25" t="e">
        <f t="shared" si="7"/>
        <v>#REF!</v>
      </c>
    </row>
    <row r="223" spans="1:9" x14ac:dyDescent="0.2">
      <c r="A223" t="str">
        <f>"{ id: """&amp;MASTER!H224&amp;""""</f>
        <v>{ id: "223"</v>
      </c>
      <c r="B223" t="str">
        <f>" id2: """&amp;MASTER!G224&amp;""""</f>
        <v xml:space="preserve"> id2: "132"</v>
      </c>
      <c r="C223" t="str">
        <f>" name: """&amp;MASTER!B224&amp;""""</f>
        <v xml:space="preserve"> name: "Remoraid"</v>
      </c>
      <c r="D223" t="str">
        <f t="shared" si="6"/>
        <v xml:space="preserve"> img: "remoraid.gif"</v>
      </c>
      <c r="E223" t="str">
        <f>" type1: """&amp;MASTER!C224&amp;""""</f>
        <v xml:space="preserve"> type1: "Water"</v>
      </c>
      <c r="F223" t="str">
        <f>" type2: """&amp;MASTER!D224&amp;""""</f>
        <v xml:space="preserve"> type2: ""</v>
      </c>
      <c r="G223" t="str">
        <f>" location: """&amp;_xlfn.TEXTJOIN(" ",1,TRIM(MASTER!M224))&amp;""""</f>
        <v xml:space="preserve"> location: "Route 213 🎣Good"</v>
      </c>
      <c r="H223" t="e">
        <f>" evolve: """&amp;MASTER!#REF!&amp;""" }"</f>
        <v>#REF!</v>
      </c>
      <c r="I223" s="25" t="e">
        <f t="shared" si="7"/>
        <v>#REF!</v>
      </c>
    </row>
    <row r="224" spans="1:9" x14ac:dyDescent="0.2">
      <c r="A224" t="str">
        <f>"{ id: """&amp;MASTER!H225&amp;""""</f>
        <v>{ id: "224"</v>
      </c>
      <c r="B224" t="str">
        <f>" id2: """&amp;MASTER!G225&amp;""""</f>
        <v xml:space="preserve"> id2: "133"</v>
      </c>
      <c r="C224" t="str">
        <f>" name: """&amp;MASTER!B225&amp;""""</f>
        <v xml:space="preserve"> name: "Octillery"</v>
      </c>
      <c r="D224" t="str">
        <f t="shared" si="6"/>
        <v xml:space="preserve"> img: "octillery.gif"</v>
      </c>
      <c r="E224" t="str">
        <f>" type1: """&amp;MASTER!C225&amp;""""</f>
        <v xml:space="preserve"> type1: "Water"</v>
      </c>
      <c r="F224" t="str">
        <f>" type2: """&amp;MASTER!D225&amp;""""</f>
        <v xml:space="preserve"> type2: ""</v>
      </c>
      <c r="G224" t="str">
        <f>" location: """&amp;_xlfn.TEXTJOIN(" ",1,TRIM(MASTER!M225))&amp;""""</f>
        <v xml:space="preserve"> location: "Riverbank Cave (Know Waterfall) 👣"</v>
      </c>
      <c r="H224" t="e">
        <f>" evolve: """&amp;MASTER!#REF!&amp;""" }"</f>
        <v>#REF!</v>
      </c>
      <c r="I224" s="25" t="e">
        <f t="shared" si="7"/>
        <v>#REF!</v>
      </c>
    </row>
    <row r="225" spans="1:9" x14ac:dyDescent="0.2">
      <c r="A225" t="str">
        <f>"{ id: """&amp;MASTER!H226&amp;""""</f>
        <v>{ id: "225"</v>
      </c>
      <c r="B225" t="str">
        <f>" id2: """&amp;MASTER!G226&amp;""""</f>
        <v xml:space="preserve"> id2: ""</v>
      </c>
      <c r="C225" t="str">
        <f>" name: """&amp;MASTER!B226&amp;""""</f>
        <v xml:space="preserve"> name: "Delibird"</v>
      </c>
      <c r="D225" t="str">
        <f t="shared" si="6"/>
        <v xml:space="preserve"> img: "delibird.gif"</v>
      </c>
      <c r="E225" t="str">
        <f>" type1: """&amp;MASTER!C226&amp;""""</f>
        <v xml:space="preserve"> type1: "Ice"</v>
      </c>
      <c r="F225" t="str">
        <f>" type2: """&amp;MASTER!D226&amp;""""</f>
        <v xml:space="preserve"> type2: "Flying"</v>
      </c>
      <c r="G225" t="str">
        <f>" location: """&amp;_xlfn.TEXTJOIN(" ",1,TRIM(MASTER!M226))&amp;""""</f>
        <v xml:space="preserve"> location: "Whiteout Cave 👣"</v>
      </c>
      <c r="H225" t="e">
        <f>" evolve: """&amp;MASTER!#REF!&amp;""" }"</f>
        <v>#REF!</v>
      </c>
      <c r="I225" s="25" t="e">
        <f t="shared" si="7"/>
        <v>#REF!</v>
      </c>
    </row>
    <row r="226" spans="1:9" x14ac:dyDescent="0.2">
      <c r="A226" t="str">
        <f>"{ id: """&amp;MASTER!H227&amp;""""</f>
        <v>{ id: "226"</v>
      </c>
      <c r="B226" t="str">
        <f>" id2: """&amp;MASTER!G227&amp;""""</f>
        <v xml:space="preserve"> id2: "141"</v>
      </c>
      <c r="C226" t="str">
        <f>" name: """&amp;MASTER!B227&amp;""""</f>
        <v xml:space="preserve"> name: "Mantine"</v>
      </c>
      <c r="D226" t="str">
        <f t="shared" si="6"/>
        <v xml:space="preserve"> img: "mantine.gif"</v>
      </c>
      <c r="E226" t="str">
        <f>" type1: """&amp;MASTER!C227&amp;""""</f>
        <v xml:space="preserve"> type1: "Water"</v>
      </c>
      <c r="F226" t="str">
        <f>" type2: """&amp;MASTER!D227&amp;""""</f>
        <v xml:space="preserve"> type2: "Flying"</v>
      </c>
      <c r="G226" t="str">
        <f>" location: """&amp;_xlfn.TEXTJOIN(" ",1,TRIM(MASTER!M227))&amp;""""</f>
        <v xml:space="preserve"> location: "None"</v>
      </c>
      <c r="H226" t="e">
        <f>" evolve: """&amp;MASTER!#REF!&amp;""" }"</f>
        <v>#REF!</v>
      </c>
      <c r="I226" s="25" t="e">
        <f t="shared" si="7"/>
        <v>#REF!</v>
      </c>
    </row>
    <row r="227" spans="1:9" x14ac:dyDescent="0.2">
      <c r="A227" t="str">
        <f>"{ id: """&amp;MASTER!H228&amp;""""</f>
        <v>{ id: "227"</v>
      </c>
      <c r="B227" t="str">
        <f>" id2: """&amp;MASTER!G228&amp;""""</f>
        <v xml:space="preserve"> id2: ""</v>
      </c>
      <c r="C227" t="str">
        <f>" name: """&amp;MASTER!B228&amp;""""</f>
        <v xml:space="preserve"> name: "Skarmory"</v>
      </c>
      <c r="D227" t="str">
        <f t="shared" si="6"/>
        <v xml:space="preserve"> img: "skarmory.gif"</v>
      </c>
      <c r="E227" t="str">
        <f>" type1: """&amp;MASTER!C228&amp;""""</f>
        <v xml:space="preserve"> type1: "Steel"</v>
      </c>
      <c r="F227" t="str">
        <f>" type2: """&amp;MASTER!D228&amp;""""</f>
        <v xml:space="preserve"> type2: "Flying"</v>
      </c>
      <c r="G227" t="str">
        <f>" location: """&amp;_xlfn.TEXTJOIN(" ",1,TRIM(MASTER!M228))&amp;""""</f>
        <v xml:space="preserve"> location: "Route 227 👣 5%"</v>
      </c>
      <c r="H227" t="e">
        <f>" evolve: """&amp;MASTER!#REF!&amp;""" }"</f>
        <v>#REF!</v>
      </c>
      <c r="I227" s="25" t="e">
        <f t="shared" si="7"/>
        <v>#REF!</v>
      </c>
    </row>
    <row r="228" spans="1:9" x14ac:dyDescent="0.2">
      <c r="A228" t="str">
        <f>"{ id: """&amp;MASTER!H229&amp;""""</f>
        <v>{ id: "228"</v>
      </c>
      <c r="B228" t="str">
        <f>" id2: """&amp;MASTER!G229&amp;""""</f>
        <v xml:space="preserve"> id2: ""</v>
      </c>
      <c r="C228" t="str">
        <f>" name: """&amp;MASTER!B229&amp;""""</f>
        <v xml:space="preserve"> name: "Houndour"</v>
      </c>
      <c r="D228" t="str">
        <f t="shared" si="6"/>
        <v xml:space="preserve"> img: "houndour.gif"</v>
      </c>
      <c r="E228" t="str">
        <f>" type1: """&amp;MASTER!C229&amp;""""</f>
        <v xml:space="preserve"> type1: "Dark"</v>
      </c>
      <c r="F228" t="str">
        <f>" type2: """&amp;MASTER!D229&amp;""""</f>
        <v xml:space="preserve"> type2: "Fire"</v>
      </c>
      <c r="G228" t="str">
        <f>" location: """&amp;_xlfn.TEXTJOIN(" ",1,TRIM(MASTER!M229))&amp;""""</f>
        <v xml:space="preserve"> location: "None"</v>
      </c>
      <c r="H228" t="e">
        <f>" evolve: """&amp;MASTER!#REF!&amp;""" }"</f>
        <v>#REF!</v>
      </c>
      <c r="I228" s="25" t="e">
        <f t="shared" si="7"/>
        <v>#REF!</v>
      </c>
    </row>
    <row r="229" spans="1:9" x14ac:dyDescent="0.2">
      <c r="A229" t="str">
        <f>"{ id: """&amp;MASTER!H230&amp;""""</f>
        <v>{ id: "229"</v>
      </c>
      <c r="B229" t="str">
        <f>" id2: """&amp;MASTER!G230&amp;""""</f>
        <v xml:space="preserve"> id2: ""</v>
      </c>
      <c r="C229" t="str">
        <f>" name: """&amp;MASTER!B230&amp;""""</f>
        <v xml:space="preserve"> name: "Houndoom"</v>
      </c>
      <c r="D229" t="str">
        <f t="shared" si="6"/>
        <v xml:space="preserve"> img: "houndoom.gif"</v>
      </c>
      <c r="E229" t="str">
        <f>" type1: """&amp;MASTER!C230&amp;""""</f>
        <v xml:space="preserve"> type1: "Dark"</v>
      </c>
      <c r="F229" t="str">
        <f>" type2: """&amp;MASTER!D230&amp;""""</f>
        <v xml:space="preserve"> type2: "Fire"</v>
      </c>
      <c r="G229" t="str">
        <f>" location: """&amp;_xlfn.TEXTJOIN(" ",1,TRIM(MASTER!M230))&amp;""""</f>
        <v xml:space="preserve"> location: "Volcanic Cave 👣"</v>
      </c>
      <c r="H229" t="e">
        <f>" evolve: """&amp;MASTER!#REF!&amp;""" }"</f>
        <v>#REF!</v>
      </c>
      <c r="I229" s="25" t="e">
        <f t="shared" si="7"/>
        <v>#REF!</v>
      </c>
    </row>
    <row r="230" spans="1:9" x14ac:dyDescent="0.2">
      <c r="A230" t="str">
        <f>"{ id: """&amp;MASTER!H231&amp;""""</f>
        <v>{ id: "230"</v>
      </c>
      <c r="B230" t="str">
        <f>" id2: """&amp;MASTER!G231&amp;""""</f>
        <v xml:space="preserve"> id2: ""</v>
      </c>
      <c r="C230" t="str">
        <f>" name: """&amp;MASTER!B231&amp;""""</f>
        <v xml:space="preserve"> name: "Kingdra"</v>
      </c>
      <c r="D230" t="str">
        <f t="shared" si="6"/>
        <v xml:space="preserve"> img: "kingdra.gif"</v>
      </c>
      <c r="E230" t="str">
        <f>" type1: """&amp;MASTER!C231&amp;""""</f>
        <v xml:space="preserve"> type1: "Water"</v>
      </c>
      <c r="F230" t="str">
        <f>" type2: """&amp;MASTER!D231&amp;""""</f>
        <v xml:space="preserve"> type2: "Dragon"</v>
      </c>
      <c r="G230" t="str">
        <f>" location: """&amp;_xlfn.TEXTJOIN(" ",1,TRIM(MASTER!M231))&amp;""""</f>
        <v xml:space="preserve"> location: "None"</v>
      </c>
      <c r="H230" t="e">
        <f>" evolve: """&amp;MASTER!#REF!&amp;""" }"</f>
        <v>#REF!</v>
      </c>
      <c r="I230" s="25" t="e">
        <f t="shared" si="7"/>
        <v>#REF!</v>
      </c>
    </row>
    <row r="231" spans="1:9" x14ac:dyDescent="0.2">
      <c r="A231" t="str">
        <f>"{ id: """&amp;MASTER!H232&amp;""""</f>
        <v>{ id: "231"</v>
      </c>
      <c r="B231" t="str">
        <f>" id2: """&amp;MASTER!G232&amp;""""</f>
        <v xml:space="preserve"> id2: ""</v>
      </c>
      <c r="C231" t="str">
        <f>" name: """&amp;MASTER!B232&amp;""""</f>
        <v xml:space="preserve"> name: "Phanpy"</v>
      </c>
      <c r="D231" t="str">
        <f t="shared" si="6"/>
        <v xml:space="preserve"> img: "phanpy.gif"</v>
      </c>
      <c r="E231" t="str">
        <f>" type1: """&amp;MASTER!C232&amp;""""</f>
        <v xml:space="preserve"> type1: "Ground"</v>
      </c>
      <c r="F231" t="str">
        <f>" type2: """&amp;MASTER!D232&amp;""""</f>
        <v xml:space="preserve"> type2: ""</v>
      </c>
      <c r="G231" t="str">
        <f>" location: """&amp;_xlfn.TEXTJOIN(" ",1,TRIM(MASTER!M232))&amp;""""</f>
        <v xml:space="preserve"> location: "Rocky Cave 👣"</v>
      </c>
      <c r="H231" t="e">
        <f>" evolve: """&amp;MASTER!#REF!&amp;""" }"</f>
        <v>#REF!</v>
      </c>
      <c r="I231" s="25" t="e">
        <f t="shared" si="7"/>
        <v>#REF!</v>
      </c>
    </row>
    <row r="232" spans="1:9" x14ac:dyDescent="0.2">
      <c r="A232" t="str">
        <f>"{ id: """&amp;MASTER!H233&amp;""""</f>
        <v>{ id: "232"</v>
      </c>
      <c r="B232" t="str">
        <f>" id2: """&amp;MASTER!G233&amp;""""</f>
        <v xml:space="preserve"> id2: ""</v>
      </c>
      <c r="C232" t="str">
        <f>" name: """&amp;MASTER!B233&amp;""""</f>
        <v xml:space="preserve"> name: "Donphan"</v>
      </c>
      <c r="D232" t="str">
        <f t="shared" si="6"/>
        <v xml:space="preserve"> img: "donphan.gif"</v>
      </c>
      <c r="E232" t="str">
        <f>" type1: """&amp;MASTER!C233&amp;""""</f>
        <v xml:space="preserve"> type1: "Ground"</v>
      </c>
      <c r="F232" t="str">
        <f>" type2: """&amp;MASTER!D233&amp;""""</f>
        <v xml:space="preserve"> type2: ""</v>
      </c>
      <c r="G232" t="str">
        <f>" location: """&amp;_xlfn.TEXTJOIN(" ",1,TRIM(MASTER!M233))&amp;""""</f>
        <v xml:space="preserve"> location: "None"</v>
      </c>
      <c r="H232" t="e">
        <f>" evolve: """&amp;MASTER!#REF!&amp;""" }"</f>
        <v>#REF!</v>
      </c>
      <c r="I232" s="25" t="e">
        <f t="shared" si="7"/>
        <v>#REF!</v>
      </c>
    </row>
    <row r="233" spans="1:9" x14ac:dyDescent="0.2">
      <c r="A233" t="str">
        <f>"{ id: """&amp;MASTER!H234&amp;""""</f>
        <v>{ id: "233"</v>
      </c>
      <c r="B233" t="str">
        <f>" id2: """&amp;MASTER!G234&amp;""""</f>
        <v xml:space="preserve"> id2: ""</v>
      </c>
      <c r="C233" t="str">
        <f>" name: """&amp;MASTER!B234&amp;""""</f>
        <v xml:space="preserve"> name: "Porygon2"</v>
      </c>
      <c r="D233" t="str">
        <f t="shared" si="6"/>
        <v xml:space="preserve"> img: "porygon2.gif"</v>
      </c>
      <c r="E233" t="str">
        <f>" type1: """&amp;MASTER!C234&amp;""""</f>
        <v xml:space="preserve"> type1: "Normal"</v>
      </c>
      <c r="F233" t="str">
        <f>" type2: """&amp;MASTER!D234&amp;""""</f>
        <v xml:space="preserve"> type2: ""</v>
      </c>
      <c r="G233" t="str">
        <f>" location: """&amp;_xlfn.TEXTJOIN(" ",1,TRIM(MASTER!M234))&amp;""""</f>
        <v xml:space="preserve"> location: "None"</v>
      </c>
      <c r="H233" t="e">
        <f>" evolve: """&amp;MASTER!#REF!&amp;""" }"</f>
        <v>#REF!</v>
      </c>
      <c r="I233" s="25" t="e">
        <f t="shared" si="7"/>
        <v>#REF!</v>
      </c>
    </row>
    <row r="234" spans="1:9" x14ac:dyDescent="0.2">
      <c r="A234" t="str">
        <f>"{ id: """&amp;MASTER!H235&amp;""""</f>
        <v>{ id: "234"</v>
      </c>
      <c r="B234" t="str">
        <f>" id2: """&amp;MASTER!G235&amp;""""</f>
        <v xml:space="preserve"> id2: ""</v>
      </c>
      <c r="C234" t="str">
        <f>" name: """&amp;MASTER!B235&amp;""""</f>
        <v xml:space="preserve"> name: "Stantler"</v>
      </c>
      <c r="D234" t="str">
        <f t="shared" si="6"/>
        <v xml:space="preserve"> img: "stantler.gif"</v>
      </c>
      <c r="E234" t="str">
        <f>" type1: """&amp;MASTER!C235&amp;""""</f>
        <v xml:space="preserve"> type1: "Normal"</v>
      </c>
      <c r="F234" t="str">
        <f>" type2: """&amp;MASTER!D235&amp;""""</f>
        <v xml:space="preserve"> type2: ""</v>
      </c>
      <c r="G234" t="str">
        <f>" location: """&amp;_xlfn.TEXTJOIN(" ",1,TRIM(MASTER!M235))&amp;""""</f>
        <v xml:space="preserve"> location: "Route 207 📡 ⚪only"</v>
      </c>
      <c r="H234" t="e">
        <f>" evolve: """&amp;MASTER!#REF!&amp;""" }"</f>
        <v>#REF!</v>
      </c>
      <c r="I234" s="25" t="e">
        <f t="shared" si="7"/>
        <v>#REF!</v>
      </c>
    </row>
    <row r="235" spans="1:9" x14ac:dyDescent="0.2">
      <c r="A235" t="str">
        <f>"{ id: """&amp;MASTER!H236&amp;""""</f>
        <v>{ id: "235"</v>
      </c>
      <c r="B235" t="str">
        <f>" id2: """&amp;MASTER!G236&amp;""""</f>
        <v xml:space="preserve"> id2: ""</v>
      </c>
      <c r="C235" t="str">
        <f>" name: """&amp;MASTER!B236&amp;""""</f>
        <v xml:space="preserve"> name: "Smeargle"</v>
      </c>
      <c r="D235" t="str">
        <f t="shared" si="6"/>
        <v xml:space="preserve"> img: "smeargle.gif"</v>
      </c>
      <c r="E235" t="str">
        <f>" type1: """&amp;MASTER!C236&amp;""""</f>
        <v xml:space="preserve"> type1: "Normal"</v>
      </c>
      <c r="F235" t="str">
        <f>" type2: """&amp;MASTER!D236&amp;""""</f>
        <v xml:space="preserve"> type2: ""</v>
      </c>
      <c r="G235" t="str">
        <f>" location: """&amp;_xlfn.TEXTJOIN(" ",1,TRIM(MASTER!M236))&amp;""""</f>
        <v xml:space="preserve"> location: "Route 212 North 📡"</v>
      </c>
      <c r="H235" t="e">
        <f>" evolve: """&amp;MASTER!#REF!&amp;""" }"</f>
        <v>#REF!</v>
      </c>
      <c r="I235" s="25" t="e">
        <f t="shared" si="7"/>
        <v>#REF!</v>
      </c>
    </row>
    <row r="236" spans="1:9" x14ac:dyDescent="0.2">
      <c r="A236" t="str">
        <f>"{ id: """&amp;MASTER!H237&amp;""""</f>
        <v>{ id: "236"</v>
      </c>
      <c r="B236" t="str">
        <f>" id2: """&amp;MASTER!G237&amp;""""</f>
        <v xml:space="preserve"> id2: ""</v>
      </c>
      <c r="C236" t="str">
        <f>" name: """&amp;MASTER!B237&amp;""""</f>
        <v xml:space="preserve"> name: "Tyrogue"</v>
      </c>
      <c r="D236" t="str">
        <f t="shared" si="6"/>
        <v xml:space="preserve"> img: "tyrogue.gif"</v>
      </c>
      <c r="E236" t="str">
        <f>" type1: """&amp;MASTER!C237&amp;""""</f>
        <v xml:space="preserve"> type1: "Fighting"</v>
      </c>
      <c r="F236" t="str">
        <f>" type2: """&amp;MASTER!D237&amp;""""</f>
        <v xml:space="preserve"> type2: ""</v>
      </c>
      <c r="G236" t="str">
        <f>" location: """&amp;_xlfn.TEXTJOIN(" ",1,TRIM(MASTER!M237))&amp;""""</f>
        <v xml:space="preserve"> location: "Spacious Cave 👣"</v>
      </c>
      <c r="H236" t="e">
        <f>" evolve: """&amp;MASTER!#REF!&amp;""" }"</f>
        <v>#REF!</v>
      </c>
      <c r="I236" s="25" t="e">
        <f t="shared" si="7"/>
        <v>#REF!</v>
      </c>
    </row>
    <row r="237" spans="1:9" x14ac:dyDescent="0.2">
      <c r="A237" t="str">
        <f>"{ id: """&amp;MASTER!H238&amp;""""</f>
        <v>{ id: "237"</v>
      </c>
      <c r="B237" t="str">
        <f>" id2: """&amp;MASTER!G238&amp;""""</f>
        <v xml:space="preserve"> id2: ""</v>
      </c>
      <c r="C237" t="str">
        <f>" name: """&amp;MASTER!B238&amp;""""</f>
        <v xml:space="preserve"> name: "Hitmontop"</v>
      </c>
      <c r="D237" t="str">
        <f t="shared" si="6"/>
        <v xml:space="preserve"> img: "hitmontop.gif"</v>
      </c>
      <c r="E237" t="str">
        <f>" type1: """&amp;MASTER!C238&amp;""""</f>
        <v xml:space="preserve"> type1: "Fighting"</v>
      </c>
      <c r="F237" t="str">
        <f>" type2: """&amp;MASTER!D238&amp;""""</f>
        <v xml:space="preserve"> type2: ""</v>
      </c>
      <c r="G237" t="str">
        <f>" location: """&amp;_xlfn.TEXTJOIN(" ",1,TRIM(MASTER!M238))&amp;""""</f>
        <v xml:space="preserve"> location: "None"</v>
      </c>
      <c r="H237" t="e">
        <f>" evolve: """&amp;MASTER!#REF!&amp;""" }"</f>
        <v>#REF!</v>
      </c>
      <c r="I237" s="25" t="e">
        <f t="shared" si="7"/>
        <v>#REF!</v>
      </c>
    </row>
    <row r="238" spans="1:9" x14ac:dyDescent="0.2">
      <c r="A238" t="str">
        <f>"{ id: """&amp;MASTER!H239&amp;""""</f>
        <v>{ id: "238"</v>
      </c>
      <c r="B238" t="str">
        <f>" id2: """&amp;MASTER!G239&amp;""""</f>
        <v xml:space="preserve"> id2: ""</v>
      </c>
      <c r="C238" t="str">
        <f>" name: """&amp;MASTER!B239&amp;""""</f>
        <v xml:space="preserve"> name: "Smoochum"</v>
      </c>
      <c r="D238" t="str">
        <f t="shared" si="6"/>
        <v xml:space="preserve"> img: "smoochum.gif"</v>
      </c>
      <c r="E238" t="str">
        <f>" type1: """&amp;MASTER!C239&amp;""""</f>
        <v xml:space="preserve"> type1: "Ice"</v>
      </c>
      <c r="F238" t="str">
        <f>" type2: """&amp;MASTER!D239&amp;""""</f>
        <v xml:space="preserve"> type2: "Psychic"</v>
      </c>
      <c r="G238" t="str">
        <f>" location: """&amp;_xlfn.TEXTJOIN(" ",1,TRIM(MASTER!M239))&amp;""""</f>
        <v xml:space="preserve"> location: "Dazzling Cave 👣"</v>
      </c>
      <c r="H238" t="e">
        <f>" evolve: """&amp;MASTER!#REF!&amp;""" }"</f>
        <v>#REF!</v>
      </c>
      <c r="I238" s="25" t="e">
        <f t="shared" si="7"/>
        <v>#REF!</v>
      </c>
    </row>
    <row r="239" spans="1:9" x14ac:dyDescent="0.2">
      <c r="A239" t="str">
        <f>"{ id: """&amp;MASTER!H240&amp;""""</f>
        <v>{ id: "239"</v>
      </c>
      <c r="B239" t="str">
        <f>" id2: """&amp;MASTER!G240&amp;""""</f>
        <v xml:space="preserve"> id2: ""</v>
      </c>
      <c r="C239" t="str">
        <f>" name: """&amp;MASTER!B240&amp;""""</f>
        <v xml:space="preserve"> name: "Elekid"</v>
      </c>
      <c r="D239" t="str">
        <f t="shared" si="6"/>
        <v xml:space="preserve"> img: "elekid.gif"</v>
      </c>
      <c r="E239" t="str">
        <f>" type1: """&amp;MASTER!C240&amp;""""</f>
        <v xml:space="preserve"> type1: "Electric"</v>
      </c>
      <c r="F239" t="str">
        <f>" type2: """&amp;MASTER!D240&amp;""""</f>
        <v xml:space="preserve"> type2: ""</v>
      </c>
      <c r="G239" t="str">
        <f>" location: """&amp;_xlfn.TEXTJOIN(" ",1,TRIM(MASTER!M240))&amp;""""</f>
        <v xml:space="preserve"> location: "Dazzling Cave 👣 15% 💎only"</v>
      </c>
      <c r="H239" t="e">
        <f>" evolve: """&amp;MASTER!#REF!&amp;""" }"</f>
        <v>#REF!</v>
      </c>
      <c r="I239" s="25" t="e">
        <f t="shared" si="7"/>
        <v>#REF!</v>
      </c>
    </row>
    <row r="240" spans="1:9" x14ac:dyDescent="0.2">
      <c r="A240" t="str">
        <f>"{ id: """&amp;MASTER!H241&amp;""""</f>
        <v>{ id: "240"</v>
      </c>
      <c r="B240" t="str">
        <f>" id2: """&amp;MASTER!G241&amp;""""</f>
        <v xml:space="preserve"> id2: ""</v>
      </c>
      <c r="C240" t="str">
        <f>" name: """&amp;MASTER!B241&amp;""""</f>
        <v xml:space="preserve"> name: "Magby"</v>
      </c>
      <c r="D240" t="str">
        <f t="shared" si="6"/>
        <v xml:space="preserve"> img: "magby.gif"</v>
      </c>
      <c r="E240" t="str">
        <f>" type1: """&amp;MASTER!C241&amp;""""</f>
        <v xml:space="preserve"> type1: "Fire"</v>
      </c>
      <c r="F240" t="str">
        <f>" type2: """&amp;MASTER!D241&amp;""""</f>
        <v xml:space="preserve"> type2: ""</v>
      </c>
      <c r="G240" t="str">
        <f>" location: """&amp;_xlfn.TEXTJOIN(" ",1,TRIM(MASTER!M241))&amp;""""</f>
        <v xml:space="preserve"> location: "Volcanic Cave 👣 ⚪only"</v>
      </c>
      <c r="H240" t="e">
        <f>" evolve: """&amp;MASTER!#REF!&amp;""" }"</f>
        <v>#REF!</v>
      </c>
      <c r="I240" s="25" t="e">
        <f t="shared" si="7"/>
        <v>#REF!</v>
      </c>
    </row>
    <row r="241" spans="1:9" x14ac:dyDescent="0.2">
      <c r="A241" t="str">
        <f>"{ id: """&amp;MASTER!H242&amp;""""</f>
        <v>{ id: "241"</v>
      </c>
      <c r="B241" t="str">
        <f>" id2: """&amp;MASTER!G242&amp;""""</f>
        <v xml:space="preserve"> id2: ""</v>
      </c>
      <c r="C241" t="str">
        <f>" name: """&amp;MASTER!B242&amp;""""</f>
        <v xml:space="preserve"> name: "Miltank"</v>
      </c>
      <c r="D241" t="str">
        <f t="shared" si="6"/>
        <v xml:space="preserve"> img: "miltank.gif"</v>
      </c>
      <c r="E241" t="str">
        <f>" type1: """&amp;MASTER!C242&amp;""""</f>
        <v xml:space="preserve"> type1: "Normal"</v>
      </c>
      <c r="F241" t="str">
        <f>" type2: """&amp;MASTER!D242&amp;""""</f>
        <v xml:space="preserve"> type2: ""</v>
      </c>
      <c r="G241" t="str">
        <f>" location: """&amp;_xlfn.TEXTJOIN(" ",1,TRIM(MASTER!M242))&amp;""""</f>
        <v xml:space="preserve"> location: "Spacious Cave 👣"</v>
      </c>
      <c r="H241" t="e">
        <f>" evolve: """&amp;MASTER!#REF!&amp;""" }"</f>
        <v>#REF!</v>
      </c>
      <c r="I241" s="25" t="e">
        <f t="shared" si="7"/>
        <v>#REF!</v>
      </c>
    </row>
    <row r="242" spans="1:9" x14ac:dyDescent="0.2">
      <c r="A242" t="str">
        <f>"{ id: """&amp;MASTER!H243&amp;""""</f>
        <v>{ id: "242"</v>
      </c>
      <c r="B242" t="str">
        <f>" id2: """&amp;MASTER!G243&amp;""""</f>
        <v xml:space="preserve"> id2: "098"</v>
      </c>
      <c r="C242" t="str">
        <f>" name: """&amp;MASTER!B243&amp;""""</f>
        <v xml:space="preserve"> name: "Blissey"</v>
      </c>
      <c r="D242" t="str">
        <f t="shared" si="6"/>
        <v xml:space="preserve"> img: "blissey.gif"</v>
      </c>
      <c r="E242" t="str">
        <f>" type1: """&amp;MASTER!C243&amp;""""</f>
        <v xml:space="preserve"> type1: "Normal"</v>
      </c>
      <c r="F242" t="str">
        <f>" type2: """&amp;MASTER!D243&amp;""""</f>
        <v xml:space="preserve"> type2: ""</v>
      </c>
      <c r="G242" t="str">
        <f>" location: """&amp;_xlfn.TEXTJOIN(" ",1,TRIM(MASTER!M243))&amp;""""</f>
        <v xml:space="preserve"> location: "None"</v>
      </c>
      <c r="H242" t="e">
        <f>" evolve: """&amp;MASTER!#REF!&amp;""" }"</f>
        <v>#REF!</v>
      </c>
      <c r="I242" s="25" t="e">
        <f t="shared" si="7"/>
        <v>#REF!</v>
      </c>
    </row>
    <row r="243" spans="1:9" x14ac:dyDescent="0.2">
      <c r="A243" t="str">
        <f>"{ id: """&amp;MASTER!H244&amp;""""</f>
        <v>{ id: "243"</v>
      </c>
      <c r="B243" t="str">
        <f>" id2: """&amp;MASTER!G244&amp;""""</f>
        <v xml:space="preserve"> id2: ""</v>
      </c>
      <c r="C243" t="str">
        <f>" name: """&amp;MASTER!B244&amp;""""</f>
        <v xml:space="preserve"> name: "Raikou"</v>
      </c>
      <c r="D243" t="str">
        <f t="shared" si="6"/>
        <v xml:space="preserve"> img: "raikou.gif"</v>
      </c>
      <c r="E243" t="str">
        <f>" type1: """&amp;MASTER!C244&amp;""""</f>
        <v xml:space="preserve"> type1: "Electric"</v>
      </c>
      <c r="F243" t="str">
        <f>" type2: """&amp;MASTER!D244&amp;""""</f>
        <v xml:space="preserve"> type2: ""</v>
      </c>
      <c r="G243" t="str">
        <f>" location: """&amp;_xlfn.TEXTJOIN(" ",1,TRIM(MASTER!M244))&amp;""""</f>
        <v xml:space="preserve"> location: "Ramanas Park (Johto) 📍 💎only"</v>
      </c>
      <c r="H243" t="e">
        <f>" evolve: """&amp;MASTER!#REF!&amp;""" }"</f>
        <v>#REF!</v>
      </c>
      <c r="I243" s="25" t="e">
        <f t="shared" si="7"/>
        <v>#REF!</v>
      </c>
    </row>
    <row r="244" spans="1:9" x14ac:dyDescent="0.2">
      <c r="A244" t="str">
        <f>"{ id: """&amp;MASTER!H245&amp;""""</f>
        <v>{ id: "244"</v>
      </c>
      <c r="B244" t="str">
        <f>" id2: """&amp;MASTER!G245&amp;""""</f>
        <v xml:space="preserve"> id2: ""</v>
      </c>
      <c r="C244" t="str">
        <f>" name: """&amp;MASTER!B245&amp;""""</f>
        <v xml:space="preserve"> name: "Entei"</v>
      </c>
      <c r="D244" t="str">
        <f t="shared" si="6"/>
        <v xml:space="preserve"> img: "entei.gif"</v>
      </c>
      <c r="E244" t="str">
        <f>" type1: """&amp;MASTER!C245&amp;""""</f>
        <v xml:space="preserve"> type1: "Fire"</v>
      </c>
      <c r="F244" t="str">
        <f>" type2: """&amp;MASTER!D245&amp;""""</f>
        <v xml:space="preserve"> type2: ""</v>
      </c>
      <c r="G244" t="str">
        <f>" location: """&amp;_xlfn.TEXTJOIN(" ",1,TRIM(MASTER!M245))&amp;""""</f>
        <v xml:space="preserve"> location: "Ramanas Park (Johto) 📍 💎only"</v>
      </c>
      <c r="H244" t="e">
        <f>" evolve: """&amp;MASTER!#REF!&amp;""" }"</f>
        <v>#REF!</v>
      </c>
      <c r="I244" s="25" t="e">
        <f t="shared" si="7"/>
        <v>#REF!</v>
      </c>
    </row>
    <row r="245" spans="1:9" x14ac:dyDescent="0.2">
      <c r="A245" t="str">
        <f>"{ id: """&amp;MASTER!H246&amp;""""</f>
        <v>{ id: "245"</v>
      </c>
      <c r="B245" t="str">
        <f>" id2: """&amp;MASTER!G246&amp;""""</f>
        <v xml:space="preserve"> id2: ""</v>
      </c>
      <c r="C245" t="str">
        <f>" name: """&amp;MASTER!B246&amp;""""</f>
        <v xml:space="preserve"> name: "Suicune"</v>
      </c>
      <c r="D245" t="str">
        <f t="shared" si="6"/>
        <v xml:space="preserve"> img: "suicune.gif"</v>
      </c>
      <c r="E245" t="str">
        <f>" type1: """&amp;MASTER!C246&amp;""""</f>
        <v xml:space="preserve"> type1: "Water"</v>
      </c>
      <c r="F245" t="str">
        <f>" type2: """&amp;MASTER!D246&amp;""""</f>
        <v xml:space="preserve"> type2: ""</v>
      </c>
      <c r="G245" t="str">
        <f>" location: """&amp;_xlfn.TEXTJOIN(" ",1,TRIM(MASTER!M246))&amp;""""</f>
        <v xml:space="preserve"> location: "Ramanas Park (Johto) 📍 💎only"</v>
      </c>
      <c r="H245" t="e">
        <f>" evolve: """&amp;MASTER!#REF!&amp;""" }"</f>
        <v>#REF!</v>
      </c>
      <c r="I245" s="25" t="e">
        <f t="shared" si="7"/>
        <v>#REF!</v>
      </c>
    </row>
    <row r="246" spans="1:9" x14ac:dyDescent="0.2">
      <c r="A246" t="str">
        <f>"{ id: """&amp;MASTER!H247&amp;""""</f>
        <v>{ id: "246"</v>
      </c>
      <c r="B246" t="str">
        <f>" id2: """&amp;MASTER!G247&amp;""""</f>
        <v xml:space="preserve"> id2: ""</v>
      </c>
      <c r="C246" t="str">
        <f>" name: """&amp;MASTER!B247&amp;""""</f>
        <v xml:space="preserve"> name: "Larvitar"</v>
      </c>
      <c r="D246" t="str">
        <f t="shared" si="6"/>
        <v xml:space="preserve"> img: "larvitar.gif"</v>
      </c>
      <c r="E246" t="str">
        <f>" type1: """&amp;MASTER!C247&amp;""""</f>
        <v xml:space="preserve"> type1: "Rock"</v>
      </c>
      <c r="F246" t="str">
        <f>" type2: """&amp;MASTER!D247&amp;""""</f>
        <v xml:space="preserve"> type2: "Ground"</v>
      </c>
      <c r="G246" t="str">
        <f>" location: """&amp;_xlfn.TEXTJOIN(" ",1,TRIM(MASTER!M247))&amp;""""</f>
        <v xml:space="preserve"> location: "Rocky Cave 💎only"</v>
      </c>
      <c r="H246" t="e">
        <f>" evolve: """&amp;MASTER!#REF!&amp;""" }"</f>
        <v>#REF!</v>
      </c>
      <c r="I246" s="25" t="e">
        <f t="shared" si="7"/>
        <v>#REF!</v>
      </c>
    </row>
    <row r="247" spans="1:9" x14ac:dyDescent="0.2">
      <c r="A247" t="str">
        <f>"{ id: """&amp;MASTER!H248&amp;""""</f>
        <v>{ id: "247"</v>
      </c>
      <c r="B247" t="str">
        <f>" id2: """&amp;MASTER!G248&amp;""""</f>
        <v xml:space="preserve"> id2: ""</v>
      </c>
      <c r="C247" t="str">
        <f>" name: """&amp;MASTER!B248&amp;""""</f>
        <v xml:space="preserve"> name: "Pupitar"</v>
      </c>
      <c r="D247" t="str">
        <f t="shared" si="6"/>
        <v xml:space="preserve"> img: "pupitar.gif"</v>
      </c>
      <c r="E247" t="str">
        <f>" type1: """&amp;MASTER!C248&amp;""""</f>
        <v xml:space="preserve"> type1: "Rock"</v>
      </c>
      <c r="F247" t="str">
        <f>" type2: """&amp;MASTER!D248&amp;""""</f>
        <v xml:space="preserve"> type2: "Ground"</v>
      </c>
      <c r="G247" t="str">
        <f>" location: """&amp;_xlfn.TEXTJOIN(" ",1,TRIM(MASTER!M248))&amp;""""</f>
        <v xml:space="preserve"> location: "Rocky Cave 💎only"</v>
      </c>
      <c r="H247" t="e">
        <f>" evolve: """&amp;MASTER!#REF!&amp;""" }"</f>
        <v>#REF!</v>
      </c>
      <c r="I247" s="25" t="e">
        <f t="shared" si="7"/>
        <v>#REF!</v>
      </c>
    </row>
    <row r="248" spans="1:9" x14ac:dyDescent="0.2">
      <c r="A248" t="str">
        <f>"{ id: """&amp;MASTER!H249&amp;""""</f>
        <v>{ id: "248"</v>
      </c>
      <c r="B248" t="str">
        <f>" id2: """&amp;MASTER!G249&amp;""""</f>
        <v xml:space="preserve"> id2: ""</v>
      </c>
      <c r="C248" t="str">
        <f>" name: """&amp;MASTER!B249&amp;""""</f>
        <v xml:space="preserve"> name: "Tyranitar"</v>
      </c>
      <c r="D248" t="str">
        <f t="shared" si="6"/>
        <v xml:space="preserve"> img: "tyranitar.gif"</v>
      </c>
      <c r="E248" t="str">
        <f>" type1: """&amp;MASTER!C249&amp;""""</f>
        <v xml:space="preserve"> type1: "Rock"</v>
      </c>
      <c r="F248" t="str">
        <f>" type2: """&amp;MASTER!D249&amp;""""</f>
        <v xml:space="preserve"> type2: "Dark"</v>
      </c>
      <c r="G248" t="str">
        <f>" location: """&amp;_xlfn.TEXTJOIN(" ",1,TRIM(MASTER!M249))&amp;""""</f>
        <v xml:space="preserve"> location: "None"</v>
      </c>
      <c r="H248" t="e">
        <f>" evolve: """&amp;MASTER!#REF!&amp;""" }"</f>
        <v>#REF!</v>
      </c>
      <c r="I248" s="25" t="e">
        <f t="shared" si="7"/>
        <v>#REF!</v>
      </c>
    </row>
    <row r="249" spans="1:9" x14ac:dyDescent="0.2">
      <c r="A249" t="str">
        <f>"{ id: """&amp;MASTER!H250&amp;""""</f>
        <v>{ id: "249"</v>
      </c>
      <c r="B249" t="str">
        <f>" id2: """&amp;MASTER!G250&amp;""""</f>
        <v xml:space="preserve"> id2: ""</v>
      </c>
      <c r="C249" t="str">
        <f>" name: """&amp;MASTER!B250&amp;""""</f>
        <v xml:space="preserve"> name: "Lugia"</v>
      </c>
      <c r="D249" t="str">
        <f t="shared" si="6"/>
        <v xml:space="preserve"> img: "lugia.gif"</v>
      </c>
      <c r="E249" t="str">
        <f>" type1: """&amp;MASTER!C250&amp;""""</f>
        <v xml:space="preserve"> type1: "Psychic"</v>
      </c>
      <c r="F249" t="str">
        <f>" type2: """&amp;MASTER!D250&amp;""""</f>
        <v xml:space="preserve"> type2: "Flying"</v>
      </c>
      <c r="G249" t="str">
        <f>" location: """&amp;_xlfn.TEXTJOIN(" ",1,TRIM(MASTER!M250))&amp;""""</f>
        <v xml:space="preserve"> location: "Ramanas Park (Squall) 📍 ⚪only"</v>
      </c>
      <c r="H249" t="e">
        <f>" evolve: """&amp;MASTER!#REF!&amp;""" }"</f>
        <v>#REF!</v>
      </c>
      <c r="I249" s="25" t="e">
        <f t="shared" si="7"/>
        <v>#REF!</v>
      </c>
    </row>
    <row r="250" spans="1:9" x14ac:dyDescent="0.2">
      <c r="A250" t="str">
        <f>"{ id: """&amp;MASTER!H251&amp;""""</f>
        <v>{ id: "250"</v>
      </c>
      <c r="B250" t="str">
        <f>" id2: """&amp;MASTER!G251&amp;""""</f>
        <v xml:space="preserve"> id2: ""</v>
      </c>
      <c r="C250" t="str">
        <f>" name: """&amp;MASTER!B251&amp;""""</f>
        <v xml:space="preserve"> name: "Ho-oh"</v>
      </c>
      <c r="D250" t="str">
        <f t="shared" si="6"/>
        <v xml:space="preserve"> img: "ho-oh.gif"</v>
      </c>
      <c r="E250" t="str">
        <f>" type1: """&amp;MASTER!C251&amp;""""</f>
        <v xml:space="preserve"> type1: "Fire"</v>
      </c>
      <c r="F250" t="str">
        <f>" type2: """&amp;MASTER!D251&amp;""""</f>
        <v xml:space="preserve"> type2: "Flying"</v>
      </c>
      <c r="G250" t="str">
        <f>" location: """&amp;_xlfn.TEXTJOIN(" ",1,TRIM(MASTER!M251))&amp;""""</f>
        <v xml:space="preserve"> location: "Ramanas Park (Rainbow) 📍 💎only"</v>
      </c>
      <c r="H250" t="e">
        <f>" evolve: """&amp;MASTER!#REF!&amp;""" }"</f>
        <v>#REF!</v>
      </c>
      <c r="I250" s="25" t="e">
        <f t="shared" si="7"/>
        <v>#REF!</v>
      </c>
    </row>
    <row r="251" spans="1:9" x14ac:dyDescent="0.2">
      <c r="A251" t="str">
        <f>"{ id: """&amp;MASTER!H252&amp;""""</f>
        <v>{ id: "251"</v>
      </c>
      <c r="B251" t="str">
        <f>" id2: """&amp;MASTER!G252&amp;""""</f>
        <v xml:space="preserve"> id2: ""</v>
      </c>
      <c r="C251" t="str">
        <f>" name: """&amp;MASTER!B252&amp;""""</f>
        <v xml:space="preserve"> name: "Celebi"</v>
      </c>
      <c r="D251" t="str">
        <f t="shared" si="6"/>
        <v xml:space="preserve"> img: "celebi.gif"</v>
      </c>
      <c r="E251" t="str">
        <f>" type1: """&amp;MASTER!C252&amp;""""</f>
        <v xml:space="preserve"> type1: "Psychic"</v>
      </c>
      <c r="F251" t="str">
        <f>" type2: """&amp;MASTER!D252&amp;""""</f>
        <v xml:space="preserve"> type2: "Grass"</v>
      </c>
      <c r="G251" t="str">
        <f>" location: """&amp;_xlfn.TEXTJOIN(" ",1,TRIM(MASTER!M252))&amp;""""</f>
        <v xml:space="preserve"> location: "Trade Only"</v>
      </c>
      <c r="H251" t="e">
        <f>" evolve: """&amp;MASTER!#REF!&amp;""" }"</f>
        <v>#REF!</v>
      </c>
      <c r="I251" s="25" t="e">
        <f t="shared" si="7"/>
        <v>#REF!</v>
      </c>
    </row>
    <row r="252" spans="1:9" x14ac:dyDescent="0.2">
      <c r="A252" t="str">
        <f>"{ id: """&amp;MASTER!H253&amp;""""</f>
        <v>{ id: "252"</v>
      </c>
      <c r="B252" t="str">
        <f>" id2: """&amp;MASTER!G253&amp;""""</f>
        <v xml:space="preserve"> id2: ""</v>
      </c>
      <c r="C252" t="str">
        <f>" name: """&amp;MASTER!B253&amp;""""</f>
        <v xml:space="preserve"> name: "Treecko"</v>
      </c>
      <c r="D252" t="str">
        <f t="shared" si="6"/>
        <v xml:space="preserve"> img: "treecko.gif"</v>
      </c>
      <c r="E252" t="str">
        <f>" type1: """&amp;MASTER!C253&amp;""""</f>
        <v xml:space="preserve"> type1: "Grass"</v>
      </c>
      <c r="F252" t="str">
        <f>" type2: """&amp;MASTER!D253&amp;""""</f>
        <v xml:space="preserve"> type2: ""</v>
      </c>
      <c r="G252" t="str">
        <f>" location: """&amp;_xlfn.TEXTJOIN(" ",1,TRIM(MASTER!M253))&amp;""""</f>
        <v xml:space="preserve"> location: "Grassland Cave 👣"</v>
      </c>
      <c r="H252" t="e">
        <f>" evolve: """&amp;MASTER!#REF!&amp;""" }"</f>
        <v>#REF!</v>
      </c>
      <c r="I252" s="25" t="e">
        <f t="shared" si="7"/>
        <v>#REF!</v>
      </c>
    </row>
    <row r="253" spans="1:9" x14ac:dyDescent="0.2">
      <c r="A253" t="str">
        <f>"{ id: """&amp;MASTER!H254&amp;""""</f>
        <v>{ id: "253"</v>
      </c>
      <c r="B253" t="str">
        <f>" id2: """&amp;MASTER!G254&amp;""""</f>
        <v xml:space="preserve"> id2: ""</v>
      </c>
      <c r="C253" t="str">
        <f>" name: """&amp;MASTER!B254&amp;""""</f>
        <v xml:space="preserve"> name: "Grovyle"</v>
      </c>
      <c r="D253" t="str">
        <f t="shared" si="6"/>
        <v xml:space="preserve"> img: "grovyle.gif"</v>
      </c>
      <c r="E253" t="str">
        <f>" type1: """&amp;MASTER!C254&amp;""""</f>
        <v xml:space="preserve"> type1: "Grass"</v>
      </c>
      <c r="F253" t="str">
        <f>" type2: """&amp;MASTER!D254&amp;""""</f>
        <v xml:space="preserve"> type2: ""</v>
      </c>
      <c r="G253" t="str">
        <f>" location: """&amp;_xlfn.TEXTJOIN(" ",1,TRIM(MASTER!M254))&amp;""""</f>
        <v xml:space="preserve"> location: "None"</v>
      </c>
      <c r="H253" t="e">
        <f>" evolve: """&amp;MASTER!#REF!&amp;""" }"</f>
        <v>#REF!</v>
      </c>
      <c r="I253" s="25" t="e">
        <f t="shared" si="7"/>
        <v>#REF!</v>
      </c>
    </row>
    <row r="254" spans="1:9" x14ac:dyDescent="0.2">
      <c r="A254" t="str">
        <f>"{ id: """&amp;MASTER!H255&amp;""""</f>
        <v>{ id: "254"</v>
      </c>
      <c r="B254" t="str">
        <f>" id2: """&amp;MASTER!G255&amp;""""</f>
        <v xml:space="preserve"> id2: ""</v>
      </c>
      <c r="C254" t="str">
        <f>" name: """&amp;MASTER!B255&amp;""""</f>
        <v xml:space="preserve"> name: "Sceptile"</v>
      </c>
      <c r="D254" t="str">
        <f t="shared" si="6"/>
        <v xml:space="preserve"> img: "sceptile.gif"</v>
      </c>
      <c r="E254" t="str">
        <f>" type1: """&amp;MASTER!C255&amp;""""</f>
        <v xml:space="preserve"> type1: "Grass"</v>
      </c>
      <c r="F254" t="str">
        <f>" type2: """&amp;MASTER!D255&amp;""""</f>
        <v xml:space="preserve"> type2: ""</v>
      </c>
      <c r="G254" t="str">
        <f>" location: """&amp;_xlfn.TEXTJOIN(" ",1,TRIM(MASTER!M255))&amp;""""</f>
        <v xml:space="preserve"> location: "None"</v>
      </c>
      <c r="H254" t="e">
        <f>" evolve: """&amp;MASTER!#REF!&amp;""" }"</f>
        <v>#REF!</v>
      </c>
      <c r="I254" s="25" t="e">
        <f t="shared" si="7"/>
        <v>#REF!</v>
      </c>
    </row>
    <row r="255" spans="1:9" x14ac:dyDescent="0.2">
      <c r="A255" t="str">
        <f>"{ id: """&amp;MASTER!H256&amp;""""</f>
        <v>{ id: "255"</v>
      </c>
      <c r="B255" t="str">
        <f>" id2: """&amp;MASTER!G256&amp;""""</f>
        <v xml:space="preserve"> id2: ""</v>
      </c>
      <c r="C255" t="str">
        <f>" name: """&amp;MASTER!B256&amp;""""</f>
        <v xml:space="preserve"> name: "Torchic"</v>
      </c>
      <c r="D255" t="str">
        <f t="shared" si="6"/>
        <v xml:space="preserve"> img: "torchic.gif"</v>
      </c>
      <c r="E255" t="str">
        <f>" type1: """&amp;MASTER!C256&amp;""""</f>
        <v xml:space="preserve"> type1: "Fire"</v>
      </c>
      <c r="F255" t="str">
        <f>" type2: """&amp;MASTER!D256&amp;""""</f>
        <v xml:space="preserve"> type2: ""</v>
      </c>
      <c r="G255" t="str">
        <f>" location: """&amp;_xlfn.TEXTJOIN(" ",1,TRIM(MASTER!M256))&amp;""""</f>
        <v xml:space="preserve"> location: "Volcanic Cave 👣"</v>
      </c>
      <c r="H255" t="e">
        <f>" evolve: """&amp;MASTER!#REF!&amp;""" }"</f>
        <v>#REF!</v>
      </c>
      <c r="I255" s="25" t="e">
        <f t="shared" si="7"/>
        <v>#REF!</v>
      </c>
    </row>
    <row r="256" spans="1:9" x14ac:dyDescent="0.2">
      <c r="A256" t="str">
        <f>"{ id: """&amp;MASTER!H257&amp;""""</f>
        <v>{ id: "256"</v>
      </c>
      <c r="B256" t="str">
        <f>" id2: """&amp;MASTER!G257&amp;""""</f>
        <v xml:space="preserve"> id2: ""</v>
      </c>
      <c r="C256" t="str">
        <f>" name: """&amp;MASTER!B257&amp;""""</f>
        <v xml:space="preserve"> name: "Combusken"</v>
      </c>
      <c r="D256" t="str">
        <f t="shared" si="6"/>
        <v xml:space="preserve"> img: "combusken.gif"</v>
      </c>
      <c r="E256" t="str">
        <f>" type1: """&amp;MASTER!C257&amp;""""</f>
        <v xml:space="preserve"> type1: "Fire"</v>
      </c>
      <c r="F256" t="str">
        <f>" type2: """&amp;MASTER!D257&amp;""""</f>
        <v xml:space="preserve"> type2: "Fighting"</v>
      </c>
      <c r="G256" t="str">
        <f>" location: """&amp;_xlfn.TEXTJOIN(" ",1,TRIM(MASTER!M257))&amp;""""</f>
        <v xml:space="preserve"> location: "None"</v>
      </c>
      <c r="H256" t="e">
        <f>" evolve: """&amp;MASTER!#REF!&amp;""" }"</f>
        <v>#REF!</v>
      </c>
      <c r="I256" s="25" t="e">
        <f t="shared" si="7"/>
        <v>#REF!</v>
      </c>
    </row>
    <row r="257" spans="1:9" x14ac:dyDescent="0.2">
      <c r="A257" t="str">
        <f>"{ id: """&amp;MASTER!H258&amp;""""</f>
        <v>{ id: "257"</v>
      </c>
      <c r="B257" t="str">
        <f>" id2: """&amp;MASTER!G258&amp;""""</f>
        <v xml:space="preserve"> id2: ""</v>
      </c>
      <c r="C257" t="str">
        <f>" name: """&amp;MASTER!B258&amp;""""</f>
        <v xml:space="preserve"> name: "Blaziken"</v>
      </c>
      <c r="D257" t="str">
        <f t="shared" si="6"/>
        <v xml:space="preserve"> img: "blaziken.gif"</v>
      </c>
      <c r="E257" t="str">
        <f>" type1: """&amp;MASTER!C258&amp;""""</f>
        <v xml:space="preserve"> type1: "Fire"</v>
      </c>
      <c r="F257" t="str">
        <f>" type2: """&amp;MASTER!D258&amp;""""</f>
        <v xml:space="preserve"> type2: "Fighting"</v>
      </c>
      <c r="G257" t="str">
        <f>" location: """&amp;_xlfn.TEXTJOIN(" ",1,TRIM(MASTER!M258))&amp;""""</f>
        <v xml:space="preserve"> location: "None"</v>
      </c>
      <c r="H257" t="e">
        <f>" evolve: """&amp;MASTER!#REF!&amp;""" }"</f>
        <v>#REF!</v>
      </c>
      <c r="I257" s="25" t="e">
        <f t="shared" si="7"/>
        <v>#REF!</v>
      </c>
    </row>
    <row r="258" spans="1:9" x14ac:dyDescent="0.2">
      <c r="A258" t="str">
        <f>"{ id: """&amp;MASTER!H259&amp;""""</f>
        <v>{ id: "258"</v>
      </c>
      <c r="B258" t="str">
        <f>" id2: """&amp;MASTER!G259&amp;""""</f>
        <v xml:space="preserve"> id2: ""</v>
      </c>
      <c r="C258" t="str">
        <f>" name: """&amp;MASTER!B259&amp;""""</f>
        <v xml:space="preserve"> name: "Mudkip"</v>
      </c>
      <c r="D258" t="str">
        <f t="shared" ref="D258:D321" si="8">" img: """&amp;LOWER(MID(C258,9,LEN(C258)-9))&amp;".gif"""</f>
        <v xml:space="preserve"> img: "mudkip.gif"</v>
      </c>
      <c r="E258" t="str">
        <f>" type1: """&amp;MASTER!C259&amp;""""</f>
        <v xml:space="preserve"> type1: "Water"</v>
      </c>
      <c r="F258" t="str">
        <f>" type2: """&amp;MASTER!D259&amp;""""</f>
        <v xml:space="preserve"> type2: ""</v>
      </c>
      <c r="G258" t="str">
        <f>" location: """&amp;_xlfn.TEXTJOIN(" ",1,TRIM(MASTER!M259))&amp;""""</f>
        <v xml:space="preserve"> location: "Fountainspring Cave 👣"</v>
      </c>
      <c r="H258" t="e">
        <f>" evolve: """&amp;MASTER!#REF!&amp;""" }"</f>
        <v>#REF!</v>
      </c>
      <c r="I258" s="25" t="e">
        <f t="shared" ref="I258:I321" si="9">_xlfn.TEXTJOIN(",",1,A258:H258)&amp;","</f>
        <v>#REF!</v>
      </c>
    </row>
    <row r="259" spans="1:9" x14ac:dyDescent="0.2">
      <c r="A259" t="str">
        <f>"{ id: """&amp;MASTER!H260&amp;""""</f>
        <v>{ id: "259"</v>
      </c>
      <c r="B259" t="str">
        <f>" id2: """&amp;MASTER!G260&amp;""""</f>
        <v xml:space="preserve"> id2: ""</v>
      </c>
      <c r="C259" t="str">
        <f>" name: """&amp;MASTER!B260&amp;""""</f>
        <v xml:space="preserve"> name: "Marshtomp"</v>
      </c>
      <c r="D259" t="str">
        <f t="shared" si="8"/>
        <v xml:space="preserve"> img: "marshtomp.gif"</v>
      </c>
      <c r="E259" t="str">
        <f>" type1: """&amp;MASTER!C260&amp;""""</f>
        <v xml:space="preserve"> type1: "Water"</v>
      </c>
      <c r="F259" t="str">
        <f>" type2: """&amp;MASTER!D260&amp;""""</f>
        <v xml:space="preserve"> type2: "Ground"</v>
      </c>
      <c r="G259" t="str">
        <f>" location: """&amp;_xlfn.TEXTJOIN(" ",1,TRIM(MASTER!M260))&amp;""""</f>
        <v xml:space="preserve"> location: "None"</v>
      </c>
      <c r="H259" t="e">
        <f>" evolve: """&amp;MASTER!#REF!&amp;""" }"</f>
        <v>#REF!</v>
      </c>
      <c r="I259" s="25" t="e">
        <f t="shared" si="9"/>
        <v>#REF!</v>
      </c>
    </row>
    <row r="260" spans="1:9" x14ac:dyDescent="0.2">
      <c r="A260" t="str">
        <f>"{ id: """&amp;MASTER!H261&amp;""""</f>
        <v>{ id: "260"</v>
      </c>
      <c r="B260" t="str">
        <f>" id2: """&amp;MASTER!G261&amp;""""</f>
        <v xml:space="preserve"> id2: ""</v>
      </c>
      <c r="C260" t="str">
        <f>" name: """&amp;MASTER!B261&amp;""""</f>
        <v xml:space="preserve"> name: "Swampert"</v>
      </c>
      <c r="D260" t="str">
        <f t="shared" si="8"/>
        <v xml:space="preserve"> img: "swampert.gif"</v>
      </c>
      <c r="E260" t="str">
        <f>" type1: """&amp;MASTER!C261&amp;""""</f>
        <v xml:space="preserve"> type1: "Water"</v>
      </c>
      <c r="F260" t="str">
        <f>" type2: """&amp;MASTER!D261&amp;""""</f>
        <v xml:space="preserve"> type2: "Ground"</v>
      </c>
      <c r="G260" t="str">
        <f>" location: """&amp;_xlfn.TEXTJOIN(" ",1,TRIM(MASTER!M261))&amp;""""</f>
        <v xml:space="preserve"> location: "None"</v>
      </c>
      <c r="H260" t="e">
        <f>" evolve: """&amp;MASTER!#REF!&amp;""" }"</f>
        <v>#REF!</v>
      </c>
      <c r="I260" s="25" t="e">
        <f t="shared" si="9"/>
        <v>#REF!</v>
      </c>
    </row>
    <row r="261" spans="1:9" x14ac:dyDescent="0.2">
      <c r="A261" t="str">
        <f>"{ id: """&amp;MASTER!H262&amp;""""</f>
        <v>{ id: "261"</v>
      </c>
      <c r="B261" t="str">
        <f>" id2: """&amp;MASTER!G262&amp;""""</f>
        <v xml:space="preserve"> id2: ""</v>
      </c>
      <c r="C261" t="str">
        <f>" name: """&amp;MASTER!B262&amp;""""</f>
        <v xml:space="preserve"> name: "Poochyena"</v>
      </c>
      <c r="D261" t="str">
        <f t="shared" si="8"/>
        <v xml:space="preserve"> img: "poochyena.gif"</v>
      </c>
      <c r="E261" t="str">
        <f>" type1: """&amp;MASTER!C262&amp;""""</f>
        <v xml:space="preserve"> type1: "Dark"</v>
      </c>
      <c r="F261" t="str">
        <f>" type2: """&amp;MASTER!D262&amp;""""</f>
        <v xml:space="preserve"> type2: ""</v>
      </c>
      <c r="G261" t="str">
        <f>" location: """&amp;_xlfn.TEXTJOIN(" ",1,TRIM(MASTER!M262))&amp;""""</f>
        <v xml:space="preserve"> location: "Spacious Cave 👣"</v>
      </c>
      <c r="H261" t="e">
        <f>" evolve: """&amp;MASTER!#REF!&amp;""" }"</f>
        <v>#REF!</v>
      </c>
      <c r="I261" s="25" t="e">
        <f t="shared" si="9"/>
        <v>#REF!</v>
      </c>
    </row>
    <row r="262" spans="1:9" x14ac:dyDescent="0.2">
      <c r="A262" t="str">
        <f>"{ id: """&amp;MASTER!H263&amp;""""</f>
        <v>{ id: "262"</v>
      </c>
      <c r="B262" t="str">
        <f>" id2: """&amp;MASTER!G263&amp;""""</f>
        <v xml:space="preserve"> id2: ""</v>
      </c>
      <c r="C262" t="str">
        <f>" name: """&amp;MASTER!B263&amp;""""</f>
        <v xml:space="preserve"> name: "Mightyena"</v>
      </c>
      <c r="D262" t="str">
        <f t="shared" si="8"/>
        <v xml:space="preserve"> img: "mightyena.gif"</v>
      </c>
      <c r="E262" t="str">
        <f>" type1: """&amp;MASTER!C263&amp;""""</f>
        <v xml:space="preserve"> type1: "Dark"</v>
      </c>
      <c r="F262" t="str">
        <f>" type2: """&amp;MASTER!D263&amp;""""</f>
        <v xml:space="preserve"> type2: ""</v>
      </c>
      <c r="G262" t="str">
        <f>" location: """&amp;_xlfn.TEXTJOIN(" ",1,TRIM(MASTER!M263))&amp;""""</f>
        <v xml:space="preserve"> location: "Spacious Cave 👣"</v>
      </c>
      <c r="H262" t="e">
        <f>" evolve: """&amp;MASTER!#REF!&amp;""" }"</f>
        <v>#REF!</v>
      </c>
      <c r="I262" s="25" t="e">
        <f t="shared" si="9"/>
        <v>#REF!</v>
      </c>
    </row>
    <row r="263" spans="1:9" x14ac:dyDescent="0.2">
      <c r="A263" t="str">
        <f>"{ id: """&amp;MASTER!H264&amp;""""</f>
        <v>{ id: "263"</v>
      </c>
      <c r="B263" t="str">
        <f>" id2: """&amp;MASTER!G264&amp;""""</f>
        <v xml:space="preserve"> id2: ""</v>
      </c>
      <c r="C263" t="str">
        <f>" name: """&amp;MASTER!B264&amp;""""</f>
        <v xml:space="preserve"> name: "Zigzagoon"</v>
      </c>
      <c r="D263" t="str">
        <f t="shared" si="8"/>
        <v xml:space="preserve"> img: "zigzagoon.gif"</v>
      </c>
      <c r="E263" t="str">
        <f>" type1: """&amp;MASTER!C264&amp;""""</f>
        <v xml:space="preserve"> type1: "Normal"</v>
      </c>
      <c r="F263" t="str">
        <f>" type2: """&amp;MASTER!D264&amp;""""</f>
        <v xml:space="preserve"> type2: ""</v>
      </c>
      <c r="G263" t="str">
        <f>" location: """&amp;_xlfn.TEXTJOIN(" ",1,TRIM(MASTER!M264))&amp;""""</f>
        <v xml:space="preserve"> location: "Spacious Cave 👣"</v>
      </c>
      <c r="H263" t="e">
        <f>" evolve: """&amp;MASTER!#REF!&amp;""" }"</f>
        <v>#REF!</v>
      </c>
      <c r="I263" s="25" t="e">
        <f t="shared" si="9"/>
        <v>#REF!</v>
      </c>
    </row>
    <row r="264" spans="1:9" x14ac:dyDescent="0.2">
      <c r="A264" t="str">
        <f>"{ id: """&amp;MASTER!H265&amp;""""</f>
        <v>{ id: "264"</v>
      </c>
      <c r="B264" t="str">
        <f>" id2: """&amp;MASTER!G265&amp;""""</f>
        <v xml:space="preserve"> id2: ""</v>
      </c>
      <c r="C264" t="str">
        <f>" name: """&amp;MASTER!B265&amp;""""</f>
        <v xml:space="preserve"> name: "Linoone"</v>
      </c>
      <c r="D264" t="str">
        <f t="shared" si="8"/>
        <v xml:space="preserve"> img: "linoone.gif"</v>
      </c>
      <c r="E264" t="str">
        <f>" type1: """&amp;MASTER!C265&amp;""""</f>
        <v xml:space="preserve"> type1: "Normal"</v>
      </c>
      <c r="F264" t="str">
        <f>" type2: """&amp;MASTER!D265&amp;""""</f>
        <v xml:space="preserve"> type2: ""</v>
      </c>
      <c r="G264" t="str">
        <f>" location: """&amp;_xlfn.TEXTJOIN(" ",1,TRIM(MASTER!M265))&amp;""""</f>
        <v xml:space="preserve"> location: "None"</v>
      </c>
      <c r="H264" t="e">
        <f>" evolve: """&amp;MASTER!#REF!&amp;""" }"</f>
        <v>#REF!</v>
      </c>
      <c r="I264" s="25" t="e">
        <f t="shared" si="9"/>
        <v>#REF!</v>
      </c>
    </row>
    <row r="265" spans="1:9" x14ac:dyDescent="0.2">
      <c r="A265" t="str">
        <f>"{ id: """&amp;MASTER!H266&amp;""""</f>
        <v>{ id: "265"</v>
      </c>
      <c r="B265" t="str">
        <f>" id2: """&amp;MASTER!G266&amp;""""</f>
        <v xml:space="preserve"> id2: "048"</v>
      </c>
      <c r="C265" t="str">
        <f>" name: """&amp;MASTER!B266&amp;""""</f>
        <v xml:space="preserve"> name: "Wurmple"</v>
      </c>
      <c r="D265" t="str">
        <f t="shared" si="8"/>
        <v xml:space="preserve"> img: "wurmple.gif"</v>
      </c>
      <c r="E265" t="str">
        <f>" type1: """&amp;MASTER!C266&amp;""""</f>
        <v xml:space="preserve"> type1: "Bug"</v>
      </c>
      <c r="F265" t="str">
        <f>" type2: """&amp;MASTER!D266&amp;""""</f>
        <v xml:space="preserve"> type2: ""</v>
      </c>
      <c r="G265" t="str">
        <f>" location: """&amp;_xlfn.TEXTJOIN(" ",1,TRIM(MASTER!M266))&amp;""""</f>
        <v xml:space="preserve"> location: "Grassland Cave 👣"</v>
      </c>
      <c r="H265" t="e">
        <f>" evolve: """&amp;MASTER!#REF!&amp;""" }"</f>
        <v>#REF!</v>
      </c>
      <c r="I265" s="25" t="e">
        <f t="shared" si="9"/>
        <v>#REF!</v>
      </c>
    </row>
    <row r="266" spans="1:9" x14ac:dyDescent="0.2">
      <c r="A266" t="str">
        <f>"{ id: """&amp;MASTER!H267&amp;""""</f>
        <v>{ id: "266"</v>
      </c>
      <c r="B266" t="str">
        <f>" id2: """&amp;MASTER!G267&amp;""""</f>
        <v xml:space="preserve"> id2: "049"</v>
      </c>
      <c r="C266" t="str">
        <f>" name: """&amp;MASTER!B267&amp;""""</f>
        <v xml:space="preserve"> name: "Silcoon"</v>
      </c>
      <c r="D266" t="str">
        <f t="shared" si="8"/>
        <v xml:space="preserve"> img: "silcoon.gif"</v>
      </c>
      <c r="E266" t="str">
        <f>" type1: """&amp;MASTER!C267&amp;""""</f>
        <v xml:space="preserve"> type1: "Bug"</v>
      </c>
      <c r="F266" t="str">
        <f>" type2: """&amp;MASTER!D267&amp;""""</f>
        <v xml:space="preserve"> type2: ""</v>
      </c>
      <c r="G266" t="str">
        <f>" location: """&amp;_xlfn.TEXTJOIN(" ",1,TRIM(MASTER!M267))&amp;""""</f>
        <v xml:space="preserve"> location: "Grassland Cave 👣 💎only"</v>
      </c>
      <c r="H266" t="e">
        <f>" evolve: """&amp;MASTER!#REF!&amp;""" }"</f>
        <v>#REF!</v>
      </c>
      <c r="I266" s="25" t="e">
        <f t="shared" si="9"/>
        <v>#REF!</v>
      </c>
    </row>
    <row r="267" spans="1:9" x14ac:dyDescent="0.2">
      <c r="A267" t="str">
        <f>"{ id: """&amp;MASTER!H268&amp;""""</f>
        <v>{ id: "267"</v>
      </c>
      <c r="B267" t="str">
        <f>" id2: """&amp;MASTER!G268&amp;""""</f>
        <v xml:space="preserve"> id2: "050"</v>
      </c>
      <c r="C267" t="str">
        <f>" name: """&amp;MASTER!B268&amp;""""</f>
        <v xml:space="preserve"> name: "Beautifly"</v>
      </c>
      <c r="D267" t="str">
        <f t="shared" si="8"/>
        <v xml:space="preserve"> img: "beautifly.gif"</v>
      </c>
      <c r="E267" t="str">
        <f>" type1: """&amp;MASTER!C268&amp;""""</f>
        <v xml:space="preserve"> type1: "Bug"</v>
      </c>
      <c r="F267" t="str">
        <f>" type2: """&amp;MASTER!D268&amp;""""</f>
        <v xml:space="preserve"> type2: "Flying"</v>
      </c>
      <c r="G267" t="str">
        <f>" location: """&amp;_xlfn.TEXTJOIN(" ",1,TRIM(MASTER!M268))&amp;""""</f>
        <v xml:space="preserve"> location: "Route 230 👣 10% 💎 Route 224 👣 4% ⚪"</v>
      </c>
      <c r="H267" t="e">
        <f>" evolve: """&amp;MASTER!#REF!&amp;""" }"</f>
        <v>#REF!</v>
      </c>
      <c r="I267" s="25" t="e">
        <f t="shared" si="9"/>
        <v>#REF!</v>
      </c>
    </row>
    <row r="268" spans="1:9" x14ac:dyDescent="0.2">
      <c r="A268" t="str">
        <f>"{ id: """&amp;MASTER!H269&amp;""""</f>
        <v>{ id: "268"</v>
      </c>
      <c r="B268" t="str">
        <f>" id2: """&amp;MASTER!G269&amp;""""</f>
        <v xml:space="preserve"> id2: "051"</v>
      </c>
      <c r="C268" t="str">
        <f>" name: """&amp;MASTER!B269&amp;""""</f>
        <v xml:space="preserve"> name: "Cascoon"</v>
      </c>
      <c r="D268" t="str">
        <f t="shared" si="8"/>
        <v xml:space="preserve"> img: "cascoon.gif"</v>
      </c>
      <c r="E268" t="str">
        <f>" type1: """&amp;MASTER!C269&amp;""""</f>
        <v xml:space="preserve"> type1: "Bug"</v>
      </c>
      <c r="F268" t="str">
        <f>" type2: """&amp;MASTER!D269&amp;""""</f>
        <v xml:space="preserve"> type2: ""</v>
      </c>
      <c r="G268" t="str">
        <f>" location: """&amp;_xlfn.TEXTJOIN(" ",1,TRIM(MASTER!M269))&amp;""""</f>
        <v xml:space="preserve"> location: "Grassland Cave 👣 ⚪only"</v>
      </c>
      <c r="H268" t="e">
        <f>" evolve: """&amp;MASTER!#REF!&amp;""" }"</f>
        <v>#REF!</v>
      </c>
      <c r="I268" s="25" t="e">
        <f t="shared" si="9"/>
        <v>#REF!</v>
      </c>
    </row>
    <row r="269" spans="1:9" x14ac:dyDescent="0.2">
      <c r="A269" t="str">
        <f>"{ id: """&amp;MASTER!H270&amp;""""</f>
        <v>{ id: "269"</v>
      </c>
      <c r="B269" t="str">
        <f>" id2: """&amp;MASTER!G270&amp;""""</f>
        <v xml:space="preserve"> id2: "052"</v>
      </c>
      <c r="C269" t="str">
        <f>" name: """&amp;MASTER!B270&amp;""""</f>
        <v xml:space="preserve"> name: "Dustox"</v>
      </c>
      <c r="D269" t="str">
        <f t="shared" si="8"/>
        <v xml:space="preserve"> img: "dustox.gif"</v>
      </c>
      <c r="E269" t="str">
        <f>" type1: """&amp;MASTER!C270&amp;""""</f>
        <v xml:space="preserve"> type1: "Bug"</v>
      </c>
      <c r="F269" t="str">
        <f>" type2: """&amp;MASTER!D270&amp;""""</f>
        <v xml:space="preserve"> type2: "Poison"</v>
      </c>
      <c r="G269" t="str">
        <f>" location: """&amp;_xlfn.TEXTJOIN(" ",1,TRIM(MASTER!M270))&amp;""""</f>
        <v xml:space="preserve"> location: "Route 230 👣 10% ⚪only"</v>
      </c>
      <c r="H269" t="e">
        <f>" evolve: """&amp;MASTER!#REF!&amp;""" }"</f>
        <v>#REF!</v>
      </c>
      <c r="I269" s="25" t="e">
        <f t="shared" si="9"/>
        <v>#REF!</v>
      </c>
    </row>
    <row r="270" spans="1:9" x14ac:dyDescent="0.2">
      <c r="A270" t="str">
        <f>"{ id: """&amp;MASTER!H271&amp;""""</f>
        <v>{ id: "270"</v>
      </c>
      <c r="B270" t="str">
        <f>" id2: """&amp;MASTER!G271&amp;""""</f>
        <v xml:space="preserve"> id2: ""</v>
      </c>
      <c r="C270" t="str">
        <f>" name: """&amp;MASTER!B271&amp;""""</f>
        <v xml:space="preserve"> name: "Lotad"</v>
      </c>
      <c r="D270" t="str">
        <f t="shared" si="8"/>
        <v xml:space="preserve"> img: "lotad.gif"</v>
      </c>
      <c r="E270" t="str">
        <f>" type1: """&amp;MASTER!C271&amp;""""</f>
        <v xml:space="preserve"> type1: "Water"</v>
      </c>
      <c r="F270" t="str">
        <f>" type2: """&amp;MASTER!D271&amp;""""</f>
        <v xml:space="preserve"> type2: "Grass"</v>
      </c>
      <c r="G270" t="str">
        <f>" location: """&amp;_xlfn.TEXTJOIN(" ",1,TRIM(MASTER!M271))&amp;""""</f>
        <v xml:space="preserve"> location: "Grassland Cave ⚪only"</v>
      </c>
      <c r="H270" t="e">
        <f>" evolve: """&amp;MASTER!#REF!&amp;""" }"</f>
        <v>#REF!</v>
      </c>
      <c r="I270" s="25" t="e">
        <f t="shared" si="9"/>
        <v>#REF!</v>
      </c>
    </row>
    <row r="271" spans="1:9" x14ac:dyDescent="0.2">
      <c r="A271" t="str">
        <f>"{ id: """&amp;MASTER!H272&amp;""""</f>
        <v>{ id: "271"</v>
      </c>
      <c r="B271" t="str">
        <f>" id2: """&amp;MASTER!G272&amp;""""</f>
        <v xml:space="preserve"> id2: ""</v>
      </c>
      <c r="C271" t="str">
        <f>" name: """&amp;MASTER!B272&amp;""""</f>
        <v xml:space="preserve"> name: "Lombre"</v>
      </c>
      <c r="D271" t="str">
        <f t="shared" si="8"/>
        <v xml:space="preserve"> img: "lombre.gif"</v>
      </c>
      <c r="E271" t="str">
        <f>" type1: """&amp;MASTER!C272&amp;""""</f>
        <v xml:space="preserve"> type1: "Water"</v>
      </c>
      <c r="F271" t="str">
        <f>" type2: """&amp;MASTER!D272&amp;""""</f>
        <v xml:space="preserve"> type2: "Grass"</v>
      </c>
      <c r="G271" t="str">
        <f>" location: """&amp;_xlfn.TEXTJOIN(" ",1,TRIM(MASTER!M272))&amp;""""</f>
        <v xml:space="preserve"> location: "Grassland Cave ⚪only"</v>
      </c>
      <c r="H271" t="e">
        <f>" evolve: """&amp;MASTER!#REF!&amp;""" }"</f>
        <v>#REF!</v>
      </c>
      <c r="I271" s="25" t="e">
        <f t="shared" si="9"/>
        <v>#REF!</v>
      </c>
    </row>
    <row r="272" spans="1:9" x14ac:dyDescent="0.2">
      <c r="A272" t="str">
        <f>"{ id: """&amp;MASTER!H273&amp;""""</f>
        <v>{ id: "272"</v>
      </c>
      <c r="B272" t="str">
        <f>" id2: """&amp;MASTER!G273&amp;""""</f>
        <v xml:space="preserve"> id2: ""</v>
      </c>
      <c r="C272" t="str">
        <f>" name: """&amp;MASTER!B273&amp;""""</f>
        <v xml:space="preserve"> name: "Ludicolo"</v>
      </c>
      <c r="D272" t="str">
        <f t="shared" si="8"/>
        <v xml:space="preserve"> img: "ludicolo.gif"</v>
      </c>
      <c r="E272" t="str">
        <f>" type1: """&amp;MASTER!C273&amp;""""</f>
        <v xml:space="preserve"> type1: "Water"</v>
      </c>
      <c r="F272" t="str">
        <f>" type2: """&amp;MASTER!D273&amp;""""</f>
        <v xml:space="preserve"> type2: "Grass"</v>
      </c>
      <c r="G272" t="str">
        <f>" location: """&amp;_xlfn.TEXTJOIN(" ",1,TRIM(MASTER!M273))&amp;""""</f>
        <v xml:space="preserve"> location: "None"</v>
      </c>
      <c r="H272" t="e">
        <f>" evolve: """&amp;MASTER!#REF!&amp;""" }"</f>
        <v>#REF!</v>
      </c>
      <c r="I272" s="25" t="e">
        <f t="shared" si="9"/>
        <v>#REF!</v>
      </c>
    </row>
    <row r="273" spans="1:9" x14ac:dyDescent="0.2">
      <c r="A273" t="str">
        <f>"{ id: """&amp;MASTER!H274&amp;""""</f>
        <v>{ id: "273"</v>
      </c>
      <c r="B273" t="str">
        <f>" id2: """&amp;MASTER!G274&amp;""""</f>
        <v xml:space="preserve"> id2: ""</v>
      </c>
      <c r="C273" t="str">
        <f>" name: """&amp;MASTER!B274&amp;""""</f>
        <v xml:space="preserve"> name: "Seedot"</v>
      </c>
      <c r="D273" t="str">
        <f t="shared" si="8"/>
        <v xml:space="preserve"> img: "seedot.gif"</v>
      </c>
      <c r="E273" t="str">
        <f>" type1: """&amp;MASTER!C274&amp;""""</f>
        <v xml:space="preserve"> type1: "Grass"</v>
      </c>
      <c r="F273" t="str">
        <f>" type2: """&amp;MASTER!D274&amp;""""</f>
        <v xml:space="preserve"> type2: ""</v>
      </c>
      <c r="G273" t="str">
        <f>" location: """&amp;_xlfn.TEXTJOIN(" ",1,TRIM(MASTER!M274))&amp;""""</f>
        <v xml:space="preserve"> location: "Grassland Cave 💎only"</v>
      </c>
      <c r="H273" t="e">
        <f>" evolve: """&amp;MASTER!#REF!&amp;""" }"</f>
        <v>#REF!</v>
      </c>
      <c r="I273" s="25" t="e">
        <f t="shared" si="9"/>
        <v>#REF!</v>
      </c>
    </row>
    <row r="274" spans="1:9" x14ac:dyDescent="0.2">
      <c r="A274" t="str">
        <f>"{ id: """&amp;MASTER!H275&amp;""""</f>
        <v>{ id: "274"</v>
      </c>
      <c r="B274" t="str">
        <f>" id2: """&amp;MASTER!G275&amp;""""</f>
        <v xml:space="preserve"> id2: ""</v>
      </c>
      <c r="C274" t="str">
        <f>" name: """&amp;MASTER!B275&amp;""""</f>
        <v xml:space="preserve"> name: "Nuzleaf"</v>
      </c>
      <c r="D274" t="str">
        <f t="shared" si="8"/>
        <v xml:space="preserve"> img: "nuzleaf.gif"</v>
      </c>
      <c r="E274" t="str">
        <f>" type1: """&amp;MASTER!C275&amp;""""</f>
        <v xml:space="preserve"> type1: "Grass"</v>
      </c>
      <c r="F274" t="str">
        <f>" type2: """&amp;MASTER!D275&amp;""""</f>
        <v xml:space="preserve"> type2: "Dark"</v>
      </c>
      <c r="G274" t="str">
        <f>" location: """&amp;_xlfn.TEXTJOIN(" ",1,TRIM(MASTER!M275))&amp;""""</f>
        <v xml:space="preserve"> location: "Grassland Cave 💎only"</v>
      </c>
      <c r="H274" t="e">
        <f>" evolve: """&amp;MASTER!#REF!&amp;""" }"</f>
        <v>#REF!</v>
      </c>
      <c r="I274" s="25" t="e">
        <f t="shared" si="9"/>
        <v>#REF!</v>
      </c>
    </row>
    <row r="275" spans="1:9" x14ac:dyDescent="0.2">
      <c r="A275" t="str">
        <f>"{ id: """&amp;MASTER!H276&amp;""""</f>
        <v>{ id: "275"</v>
      </c>
      <c r="B275" t="str">
        <f>" id2: """&amp;MASTER!G276&amp;""""</f>
        <v xml:space="preserve"> id2: ""</v>
      </c>
      <c r="C275" t="str">
        <f>" name: """&amp;MASTER!B276&amp;""""</f>
        <v xml:space="preserve"> name: "Shiftry"</v>
      </c>
      <c r="D275" t="str">
        <f t="shared" si="8"/>
        <v xml:space="preserve"> img: "shiftry.gif"</v>
      </c>
      <c r="E275" t="str">
        <f>" type1: """&amp;MASTER!C276&amp;""""</f>
        <v xml:space="preserve"> type1: "Grass"</v>
      </c>
      <c r="F275" t="str">
        <f>" type2: """&amp;MASTER!D276&amp;""""</f>
        <v xml:space="preserve"> type2: "Dark"</v>
      </c>
      <c r="G275" t="str">
        <f>" location: """&amp;_xlfn.TEXTJOIN(" ",1,TRIM(MASTER!M276))&amp;""""</f>
        <v xml:space="preserve"> location: "None"</v>
      </c>
      <c r="H275" t="e">
        <f>" evolve: """&amp;MASTER!#REF!&amp;""" }"</f>
        <v>#REF!</v>
      </c>
      <c r="I275" s="25" t="e">
        <f t="shared" si="9"/>
        <v>#REF!</v>
      </c>
    </row>
    <row r="276" spans="1:9" x14ac:dyDescent="0.2">
      <c r="A276" t="str">
        <f>"{ id: """&amp;MASTER!H277&amp;""""</f>
        <v>{ id: "276"</v>
      </c>
      <c r="B276" t="str">
        <f>" id2: """&amp;MASTER!G277&amp;""""</f>
        <v xml:space="preserve"> id2: ""</v>
      </c>
      <c r="C276" t="str">
        <f>" name: """&amp;MASTER!B277&amp;""""</f>
        <v xml:space="preserve"> name: "Taillow"</v>
      </c>
      <c r="D276" t="str">
        <f t="shared" si="8"/>
        <v xml:space="preserve"> img: "taillow.gif"</v>
      </c>
      <c r="E276" t="str">
        <f>" type1: """&amp;MASTER!C277&amp;""""</f>
        <v xml:space="preserve"> type1: "Normal"</v>
      </c>
      <c r="F276" t="str">
        <f>" type2: """&amp;MASTER!D277&amp;""""</f>
        <v xml:space="preserve"> type2: "Flying"</v>
      </c>
      <c r="G276" t="str">
        <f>" location: """&amp;_xlfn.TEXTJOIN(" ",1,TRIM(MASTER!M277))&amp;""""</f>
        <v xml:space="preserve"> location: "None"</v>
      </c>
      <c r="H276" t="e">
        <f>" evolve: """&amp;MASTER!#REF!&amp;""" }"</f>
        <v>#REF!</v>
      </c>
      <c r="I276" s="25" t="e">
        <f t="shared" si="9"/>
        <v>#REF!</v>
      </c>
    </row>
    <row r="277" spans="1:9" x14ac:dyDescent="0.2">
      <c r="A277" t="str">
        <f>"{ id: """&amp;MASTER!H278&amp;""""</f>
        <v>{ id: "277"</v>
      </c>
      <c r="B277" t="str">
        <f>" id2: """&amp;MASTER!G278&amp;""""</f>
        <v xml:space="preserve"> id2: ""</v>
      </c>
      <c r="C277" t="str">
        <f>" name: """&amp;MASTER!B278&amp;""""</f>
        <v xml:space="preserve"> name: "Swellow"</v>
      </c>
      <c r="D277" t="str">
        <f t="shared" si="8"/>
        <v xml:space="preserve"> img: "swellow.gif"</v>
      </c>
      <c r="E277" t="str">
        <f>" type1: """&amp;MASTER!C278&amp;""""</f>
        <v xml:space="preserve"> type1: "Normal"</v>
      </c>
      <c r="F277" t="str">
        <f>" type2: """&amp;MASTER!D278&amp;""""</f>
        <v xml:space="preserve"> type2: "Flying"</v>
      </c>
      <c r="G277" t="str">
        <f>" location: """&amp;_xlfn.TEXTJOIN(" ",1,TRIM(MASTER!M278))&amp;""""</f>
        <v xml:space="preserve"> location: "Route 213 📡"</v>
      </c>
      <c r="H277" t="e">
        <f>" evolve: """&amp;MASTER!#REF!&amp;""" }"</f>
        <v>#REF!</v>
      </c>
      <c r="I277" s="25" t="e">
        <f t="shared" si="9"/>
        <v>#REF!</v>
      </c>
    </row>
    <row r="278" spans="1:9" x14ac:dyDescent="0.2">
      <c r="A278" t="str">
        <f>"{ id: """&amp;MASTER!H279&amp;""""</f>
        <v>{ id: "278"</v>
      </c>
      <c r="B278" t="str">
        <f>" id2: """&amp;MASTER!G279&amp;""""</f>
        <v xml:space="preserve"> id2: "119"</v>
      </c>
      <c r="C278" t="str">
        <f>" name: """&amp;MASTER!B279&amp;""""</f>
        <v xml:space="preserve"> name: "Wingull"</v>
      </c>
      <c r="D278" t="str">
        <f t="shared" si="8"/>
        <v xml:space="preserve"> img: "wingull.gif"</v>
      </c>
      <c r="E278" t="str">
        <f>" type1: """&amp;MASTER!C279&amp;""""</f>
        <v xml:space="preserve"> type1: "Water"</v>
      </c>
      <c r="F278" t="str">
        <f>" type2: """&amp;MASTER!D279&amp;""""</f>
        <v xml:space="preserve"> type2: "Flying"</v>
      </c>
      <c r="G278" t="str">
        <f>" location: """&amp;_xlfn.TEXTJOIN(" ",1,TRIM(MASTER!M279))&amp;""""</f>
        <v xml:space="preserve"> location: "Spacious Cave (Know Defog) 👣"</v>
      </c>
      <c r="H278" t="e">
        <f>" evolve: """&amp;MASTER!#REF!&amp;""" }"</f>
        <v>#REF!</v>
      </c>
      <c r="I278" s="25" t="e">
        <f t="shared" si="9"/>
        <v>#REF!</v>
      </c>
    </row>
    <row r="279" spans="1:9" x14ac:dyDescent="0.2">
      <c r="A279" t="str">
        <f>"{ id: """&amp;MASTER!H280&amp;""""</f>
        <v>{ id: "279"</v>
      </c>
      <c r="B279" t="str">
        <f>" id2: """&amp;MASTER!G280&amp;""""</f>
        <v xml:space="preserve"> id2: "120"</v>
      </c>
      <c r="C279" t="str">
        <f>" name: """&amp;MASTER!B280&amp;""""</f>
        <v xml:space="preserve"> name: "Pelipper"</v>
      </c>
      <c r="D279" t="str">
        <f t="shared" si="8"/>
        <v xml:space="preserve"> img: "pelipper.gif"</v>
      </c>
      <c r="E279" t="str">
        <f>" type1: """&amp;MASTER!C280&amp;""""</f>
        <v xml:space="preserve"> type1: "Water"</v>
      </c>
      <c r="F279" t="str">
        <f>" type2: """&amp;MASTER!D280&amp;""""</f>
        <v xml:space="preserve"> type2: "Flying"</v>
      </c>
      <c r="G279" t="str">
        <f>" location: """&amp;_xlfn.TEXTJOIN(" ",1,TRIM(MASTER!M280))&amp;""""</f>
        <v xml:space="preserve"> location: "Pokémon League 🌊"</v>
      </c>
      <c r="H279" t="e">
        <f>" evolve: """&amp;MASTER!#REF!&amp;""" }"</f>
        <v>#REF!</v>
      </c>
      <c r="I279" s="25" t="e">
        <f t="shared" si="9"/>
        <v>#REF!</v>
      </c>
    </row>
    <row r="280" spans="1:9" x14ac:dyDescent="0.2">
      <c r="A280" t="str">
        <f>"{ id: """&amp;MASTER!H281&amp;""""</f>
        <v>{ id: "280"</v>
      </c>
      <c r="B280" t="str">
        <f>" id2: """&amp;MASTER!G281&amp;""""</f>
        <v xml:space="preserve"> id2: ""</v>
      </c>
      <c r="C280" t="str">
        <f>" name: """&amp;MASTER!B281&amp;""""</f>
        <v xml:space="preserve"> name: "Ralts"</v>
      </c>
      <c r="D280" t="str">
        <f t="shared" si="8"/>
        <v xml:space="preserve"> img: "ralts.gif"</v>
      </c>
      <c r="E280" t="str">
        <f>" type1: """&amp;MASTER!C281&amp;""""</f>
        <v xml:space="preserve"> type1: "Psychic"</v>
      </c>
      <c r="F280" t="str">
        <f>" type2: """&amp;MASTER!D281&amp;""""</f>
        <v xml:space="preserve"> type2: "Fairy"</v>
      </c>
      <c r="G280" t="str">
        <f>" location: """&amp;_xlfn.TEXTJOIN(" ",1,TRIM(MASTER!M281))&amp;""""</f>
        <v xml:space="preserve"> location: "Fountainspring Cave 👣"</v>
      </c>
      <c r="H280" t="e">
        <f>" evolve: """&amp;MASTER!#REF!&amp;""" }"</f>
        <v>#REF!</v>
      </c>
      <c r="I280" s="25" t="e">
        <f t="shared" si="9"/>
        <v>#REF!</v>
      </c>
    </row>
    <row r="281" spans="1:9" x14ac:dyDescent="0.2">
      <c r="A281" t="str">
        <f>"{ id: """&amp;MASTER!H282&amp;""""</f>
        <v>{ id: "281"</v>
      </c>
      <c r="B281" t="str">
        <f>" id2: """&amp;MASTER!G282&amp;""""</f>
        <v xml:space="preserve"> id2: ""</v>
      </c>
      <c r="C281" t="str">
        <f>" name: """&amp;MASTER!B282&amp;""""</f>
        <v xml:space="preserve"> name: "Kirlia"</v>
      </c>
      <c r="D281" t="str">
        <f t="shared" si="8"/>
        <v xml:space="preserve"> img: "kirlia.gif"</v>
      </c>
      <c r="E281" t="str">
        <f>" type1: """&amp;MASTER!C282&amp;""""</f>
        <v xml:space="preserve"> type1: "Psychic"</v>
      </c>
      <c r="F281" t="str">
        <f>" type2: """&amp;MASTER!D282&amp;""""</f>
        <v xml:space="preserve"> type2: "Fairy"</v>
      </c>
      <c r="G281" t="str">
        <f>" location: """&amp;_xlfn.TEXTJOIN(" ",1,TRIM(MASTER!M282))&amp;""""</f>
        <v xml:space="preserve"> location: "Dazzling Cave 👣"</v>
      </c>
      <c r="H281" t="e">
        <f>" evolve: """&amp;MASTER!#REF!&amp;""" }"</f>
        <v>#REF!</v>
      </c>
      <c r="I281" s="25" t="e">
        <f t="shared" si="9"/>
        <v>#REF!</v>
      </c>
    </row>
    <row r="282" spans="1:9" x14ac:dyDescent="0.2">
      <c r="A282" t="str">
        <f>"{ id: """&amp;MASTER!H283&amp;""""</f>
        <v>{ id: "282"</v>
      </c>
      <c r="B282" t="str">
        <f>" id2: """&amp;MASTER!G283&amp;""""</f>
        <v xml:space="preserve"> id2: ""</v>
      </c>
      <c r="C282" t="str">
        <f>" name: """&amp;MASTER!B283&amp;""""</f>
        <v xml:space="preserve"> name: "Gardevoir"</v>
      </c>
      <c r="D282" t="str">
        <f t="shared" si="8"/>
        <v xml:space="preserve"> img: "gardevoir.gif"</v>
      </c>
      <c r="E282" t="str">
        <f>" type1: """&amp;MASTER!C283&amp;""""</f>
        <v xml:space="preserve"> type1: "Psychic"</v>
      </c>
      <c r="F282" t="str">
        <f>" type2: """&amp;MASTER!D283&amp;""""</f>
        <v xml:space="preserve"> type2: "Fairy"</v>
      </c>
      <c r="G282" t="str">
        <f>" location: """&amp;_xlfn.TEXTJOIN(" ",1,TRIM(MASTER!M283))&amp;""""</f>
        <v xml:space="preserve"> location: "None"</v>
      </c>
      <c r="H282" t="e">
        <f>" evolve: """&amp;MASTER!#REF!&amp;""" }"</f>
        <v>#REF!</v>
      </c>
      <c r="I282" s="25" t="e">
        <f t="shared" si="9"/>
        <v>#REF!</v>
      </c>
    </row>
    <row r="283" spans="1:9" x14ac:dyDescent="0.2">
      <c r="A283" t="str">
        <f>"{ id: """&amp;MASTER!H284&amp;""""</f>
        <v>{ id: "283"</v>
      </c>
      <c r="B283" t="str">
        <f>" id2: """&amp;MASTER!G284&amp;""""</f>
        <v xml:space="preserve"> id2: ""</v>
      </c>
      <c r="C283" t="str">
        <f>" name: """&amp;MASTER!B284&amp;""""</f>
        <v xml:space="preserve"> name: "Surskit"</v>
      </c>
      <c r="D283" t="str">
        <f t="shared" si="8"/>
        <v xml:space="preserve"> img: "surskit.gif"</v>
      </c>
      <c r="E283" t="str">
        <f>" type1: """&amp;MASTER!C284&amp;""""</f>
        <v xml:space="preserve"> type1: "Bug"</v>
      </c>
      <c r="F283" t="str">
        <f>" type2: """&amp;MASTER!D284&amp;""""</f>
        <v xml:space="preserve"> type2: "Water"</v>
      </c>
      <c r="G283" t="str">
        <f>" location: """&amp;_xlfn.TEXTJOIN(" ",1,TRIM(MASTER!M284))&amp;""""</f>
        <v xml:space="preserve"> location: "Fountainspring Cave 👣"</v>
      </c>
      <c r="H283" t="e">
        <f>" evolve: """&amp;MASTER!#REF!&amp;""" }"</f>
        <v>#REF!</v>
      </c>
      <c r="I283" s="25" t="e">
        <f t="shared" si="9"/>
        <v>#REF!</v>
      </c>
    </row>
    <row r="284" spans="1:9" x14ac:dyDescent="0.2">
      <c r="A284" t="str">
        <f>"{ id: """&amp;MASTER!H285&amp;""""</f>
        <v>{ id: "284"</v>
      </c>
      <c r="B284" t="str">
        <f>" id2: """&amp;MASTER!G285&amp;""""</f>
        <v xml:space="preserve"> id2: ""</v>
      </c>
      <c r="C284" t="str">
        <f>" name: """&amp;MASTER!B285&amp;""""</f>
        <v xml:space="preserve"> name: "Masquerain"</v>
      </c>
      <c r="D284" t="str">
        <f t="shared" si="8"/>
        <v xml:space="preserve"> img: "masquerain.gif"</v>
      </c>
      <c r="E284" t="str">
        <f>" type1: """&amp;MASTER!C285&amp;""""</f>
        <v xml:space="preserve"> type1: "Bug"</v>
      </c>
      <c r="F284" t="str">
        <f>" type2: """&amp;MASTER!D285&amp;""""</f>
        <v xml:space="preserve"> type2: "Flying"</v>
      </c>
      <c r="G284" t="str">
        <f>" location: """&amp;_xlfn.TEXTJOIN(" ",1,TRIM(MASTER!M285))&amp;""""</f>
        <v xml:space="preserve"> location: "None"</v>
      </c>
      <c r="H284" t="e">
        <f>" evolve: """&amp;MASTER!#REF!&amp;""" }"</f>
        <v>#REF!</v>
      </c>
      <c r="I284" s="25" t="e">
        <f t="shared" si="9"/>
        <v>#REF!</v>
      </c>
    </row>
    <row r="285" spans="1:9" x14ac:dyDescent="0.2">
      <c r="A285" t="str">
        <f>"{ id: """&amp;MASTER!H286&amp;""""</f>
        <v>{ id: "285"</v>
      </c>
      <c r="B285" t="str">
        <f>" id2: """&amp;MASTER!G286&amp;""""</f>
        <v xml:space="preserve"> id2: ""</v>
      </c>
      <c r="C285" t="str">
        <f>" name: """&amp;MASTER!B286&amp;""""</f>
        <v xml:space="preserve"> name: "Shroomish"</v>
      </c>
      <c r="D285" t="str">
        <f t="shared" si="8"/>
        <v xml:space="preserve"> img: "shroomish.gif"</v>
      </c>
      <c r="E285" t="str">
        <f>" type1: """&amp;MASTER!C286&amp;""""</f>
        <v xml:space="preserve"> type1: "Grass"</v>
      </c>
      <c r="F285" t="str">
        <f>" type2: """&amp;MASTER!D286&amp;""""</f>
        <v xml:space="preserve"> type2: ""</v>
      </c>
      <c r="G285" t="str">
        <f>" location: """&amp;_xlfn.TEXTJOIN(" ",1,TRIM(MASTER!M286))&amp;""""</f>
        <v xml:space="preserve"> location: "Great Marsh (Special) 👣"</v>
      </c>
      <c r="H285" t="e">
        <f>" evolve: """&amp;MASTER!#REF!&amp;""" }"</f>
        <v>#REF!</v>
      </c>
      <c r="I285" s="25" t="e">
        <f t="shared" si="9"/>
        <v>#REF!</v>
      </c>
    </row>
    <row r="286" spans="1:9" x14ac:dyDescent="0.2">
      <c r="A286" t="str">
        <f>"{ id: """&amp;MASTER!H287&amp;""""</f>
        <v>{ id: "286"</v>
      </c>
      <c r="B286" t="str">
        <f>" id2: """&amp;MASTER!G287&amp;""""</f>
        <v xml:space="preserve"> id2: ""</v>
      </c>
      <c r="C286" t="str">
        <f>" name: """&amp;MASTER!B287&amp;""""</f>
        <v xml:space="preserve"> name: "Breloom"</v>
      </c>
      <c r="D286" t="str">
        <f t="shared" si="8"/>
        <v xml:space="preserve"> img: "breloom.gif"</v>
      </c>
      <c r="E286" t="str">
        <f>" type1: """&amp;MASTER!C287&amp;""""</f>
        <v xml:space="preserve"> type1: "Grass"</v>
      </c>
      <c r="F286" t="str">
        <f>" type2: """&amp;MASTER!D287&amp;""""</f>
        <v xml:space="preserve"> type2: "Fighting"</v>
      </c>
      <c r="G286" t="str">
        <f>" location: """&amp;_xlfn.TEXTJOIN(" ",1,TRIM(MASTER!M287))&amp;""""</f>
        <v xml:space="preserve"> location: "None"</v>
      </c>
      <c r="H286" t="e">
        <f>" evolve: """&amp;MASTER!#REF!&amp;""" }"</f>
        <v>#REF!</v>
      </c>
      <c r="I286" s="25" t="e">
        <f t="shared" si="9"/>
        <v>#REF!</v>
      </c>
    </row>
    <row r="287" spans="1:9" x14ac:dyDescent="0.2">
      <c r="A287" t="str">
        <f>"{ id: """&amp;MASTER!H288&amp;""""</f>
        <v>{ id: "287"</v>
      </c>
      <c r="B287" t="str">
        <f>" id2: """&amp;MASTER!G288&amp;""""</f>
        <v xml:space="preserve"> id2: ""</v>
      </c>
      <c r="C287" t="str">
        <f>" name: """&amp;MASTER!B288&amp;""""</f>
        <v xml:space="preserve"> name: "Slakoth"</v>
      </c>
      <c r="D287" t="str">
        <f t="shared" si="8"/>
        <v xml:space="preserve"> img: "slakoth.gif"</v>
      </c>
      <c r="E287" t="str">
        <f>" type1: """&amp;MASTER!C288&amp;""""</f>
        <v xml:space="preserve"> type1: "Normal"</v>
      </c>
      <c r="F287" t="str">
        <f>" type2: """&amp;MASTER!D288&amp;""""</f>
        <v xml:space="preserve"> type2: ""</v>
      </c>
      <c r="G287" t="str">
        <f>" location: """&amp;_xlfn.TEXTJOIN(" ",1,TRIM(MASTER!M288))&amp;""""</f>
        <v xml:space="preserve"> location: "Eterna Forest 🐝"</v>
      </c>
      <c r="H287" t="e">
        <f>" evolve: """&amp;MASTER!#REF!&amp;""" }"</f>
        <v>#REF!</v>
      </c>
      <c r="I287" s="25" t="e">
        <f t="shared" si="9"/>
        <v>#REF!</v>
      </c>
    </row>
    <row r="288" spans="1:9" x14ac:dyDescent="0.2">
      <c r="A288" t="str">
        <f>"{ id: """&amp;MASTER!H289&amp;""""</f>
        <v>{ id: "288"</v>
      </c>
      <c r="B288" t="str">
        <f>" id2: """&amp;MASTER!G289&amp;""""</f>
        <v xml:space="preserve"> id2: ""</v>
      </c>
      <c r="C288" t="str">
        <f>" name: """&amp;MASTER!B289&amp;""""</f>
        <v xml:space="preserve"> name: "Vigoroth"</v>
      </c>
      <c r="D288" t="str">
        <f t="shared" si="8"/>
        <v xml:space="preserve"> img: "vigoroth.gif"</v>
      </c>
      <c r="E288" t="str">
        <f>" type1: """&amp;MASTER!C289&amp;""""</f>
        <v xml:space="preserve"> type1: "Normal"</v>
      </c>
      <c r="F288" t="str">
        <f>" type2: """&amp;MASTER!D289&amp;""""</f>
        <v xml:space="preserve"> type2: ""</v>
      </c>
      <c r="G288" t="str">
        <f>" location: """&amp;_xlfn.TEXTJOIN(" ",1,TRIM(MASTER!M289))&amp;""""</f>
        <v xml:space="preserve"> location: "None"</v>
      </c>
      <c r="H288" t="e">
        <f>" evolve: """&amp;MASTER!#REF!&amp;""" }"</f>
        <v>#REF!</v>
      </c>
      <c r="I288" s="25" t="e">
        <f t="shared" si="9"/>
        <v>#REF!</v>
      </c>
    </row>
    <row r="289" spans="1:9" x14ac:dyDescent="0.2">
      <c r="A289" t="str">
        <f>"{ id: """&amp;MASTER!H290&amp;""""</f>
        <v>{ id: "289"</v>
      </c>
      <c r="B289" t="str">
        <f>" id2: """&amp;MASTER!G290&amp;""""</f>
        <v xml:space="preserve"> id2: ""</v>
      </c>
      <c r="C289" t="str">
        <f>" name: """&amp;MASTER!B290&amp;""""</f>
        <v xml:space="preserve"> name: "Slaking"</v>
      </c>
      <c r="D289" t="str">
        <f t="shared" si="8"/>
        <v xml:space="preserve"> img: "slaking.gif"</v>
      </c>
      <c r="E289" t="str">
        <f>" type1: """&amp;MASTER!C290&amp;""""</f>
        <v xml:space="preserve"> type1: "Normal"</v>
      </c>
      <c r="F289" t="str">
        <f>" type2: """&amp;MASTER!D290&amp;""""</f>
        <v xml:space="preserve"> type2: ""</v>
      </c>
      <c r="G289" t="str">
        <f>" location: """&amp;_xlfn.TEXTJOIN(" ",1,TRIM(MASTER!M290))&amp;""""</f>
        <v xml:space="preserve"> location: "None"</v>
      </c>
      <c r="H289" t="e">
        <f>" evolve: """&amp;MASTER!#REF!&amp;""" }"</f>
        <v>#REF!</v>
      </c>
      <c r="I289" s="25" t="e">
        <f t="shared" si="9"/>
        <v>#REF!</v>
      </c>
    </row>
    <row r="290" spans="1:9" x14ac:dyDescent="0.2">
      <c r="A290" t="str">
        <f>"{ id: """&amp;MASTER!H291&amp;""""</f>
        <v>{ id: "290"</v>
      </c>
      <c r="B290" t="str">
        <f>" id2: """&amp;MASTER!G291&amp;""""</f>
        <v xml:space="preserve"> id2: ""</v>
      </c>
      <c r="C290" t="str">
        <f>" name: """&amp;MASTER!B291&amp;""""</f>
        <v xml:space="preserve"> name: "Nincada"</v>
      </c>
      <c r="D290" t="str">
        <f t="shared" si="8"/>
        <v xml:space="preserve"> img: "nincada.gif"</v>
      </c>
      <c r="E290" t="str">
        <f>" type1: """&amp;MASTER!C291&amp;""""</f>
        <v xml:space="preserve"> type1: "Bug"</v>
      </c>
      <c r="F290" t="str">
        <f>" type2: """&amp;MASTER!D291&amp;""""</f>
        <v xml:space="preserve"> type2: "Ground"</v>
      </c>
      <c r="G290" t="str">
        <f>" location: """&amp;_xlfn.TEXTJOIN(" ",1,TRIM(MASTER!M291))&amp;""""</f>
        <v xml:space="preserve"> location: "Grassland Cave 👣"</v>
      </c>
      <c r="H290" t="e">
        <f>" evolve: """&amp;MASTER!#REF!&amp;""" }"</f>
        <v>#REF!</v>
      </c>
      <c r="I290" s="25" t="e">
        <f t="shared" si="9"/>
        <v>#REF!</v>
      </c>
    </row>
    <row r="291" spans="1:9" x14ac:dyDescent="0.2">
      <c r="A291" t="str">
        <f>"{ id: """&amp;MASTER!H292&amp;""""</f>
        <v>{ id: "291"</v>
      </c>
      <c r="B291" t="str">
        <f>" id2: """&amp;MASTER!G292&amp;""""</f>
        <v xml:space="preserve"> id2: ""</v>
      </c>
      <c r="C291" t="str">
        <f>" name: """&amp;MASTER!B292&amp;""""</f>
        <v xml:space="preserve"> name: "Ninjask"</v>
      </c>
      <c r="D291" t="str">
        <f t="shared" si="8"/>
        <v xml:space="preserve"> img: "ninjask.gif"</v>
      </c>
      <c r="E291" t="str">
        <f>" type1: """&amp;MASTER!C292&amp;""""</f>
        <v xml:space="preserve"> type1: "Bug"</v>
      </c>
      <c r="F291" t="str">
        <f>" type2: """&amp;MASTER!D292&amp;""""</f>
        <v xml:space="preserve"> type2: "Flying"</v>
      </c>
      <c r="G291" t="str">
        <f>" location: """&amp;_xlfn.TEXTJOIN(" ",1,TRIM(MASTER!M292))&amp;""""</f>
        <v xml:space="preserve"> location: "None"</v>
      </c>
      <c r="H291" t="e">
        <f>" evolve: """&amp;MASTER!#REF!&amp;""" }"</f>
        <v>#REF!</v>
      </c>
      <c r="I291" s="25" t="e">
        <f t="shared" si="9"/>
        <v>#REF!</v>
      </c>
    </row>
    <row r="292" spans="1:9" x14ac:dyDescent="0.2">
      <c r="A292" t="str">
        <f>"{ id: """&amp;MASTER!H293&amp;""""</f>
        <v>{ id: "292"</v>
      </c>
      <c r="B292" t="str">
        <f>" id2: """&amp;MASTER!G293&amp;""""</f>
        <v xml:space="preserve"> id2: ""</v>
      </c>
      <c r="C292" t="str">
        <f>" name: """&amp;MASTER!B293&amp;""""</f>
        <v xml:space="preserve"> name: "Shedinja"</v>
      </c>
      <c r="D292" t="str">
        <f t="shared" si="8"/>
        <v xml:space="preserve"> img: "shedinja.gif"</v>
      </c>
      <c r="E292" t="str">
        <f>" type1: """&amp;MASTER!C293&amp;""""</f>
        <v xml:space="preserve"> type1: "Bug"</v>
      </c>
      <c r="F292" t="str">
        <f>" type2: """&amp;MASTER!D293&amp;""""</f>
        <v xml:space="preserve"> type2: "Ghost"</v>
      </c>
      <c r="G292" t="str">
        <f>" location: """&amp;_xlfn.TEXTJOIN(" ",1,TRIM(MASTER!M293))&amp;""""</f>
        <v xml:space="preserve"> location: "None"</v>
      </c>
      <c r="H292" t="e">
        <f>" evolve: """&amp;MASTER!#REF!&amp;""" }"</f>
        <v>#REF!</v>
      </c>
      <c r="I292" s="25" t="e">
        <f t="shared" si="9"/>
        <v>#REF!</v>
      </c>
    </row>
    <row r="293" spans="1:9" x14ac:dyDescent="0.2">
      <c r="A293" t="str">
        <f>"{ id: """&amp;MASTER!H294&amp;""""</f>
        <v>{ id: "293"</v>
      </c>
      <c r="B293" t="str">
        <f>" id2: """&amp;MASTER!G294&amp;""""</f>
        <v xml:space="preserve"> id2: ""</v>
      </c>
      <c r="C293" t="str">
        <f>" name: """&amp;MASTER!B294&amp;""""</f>
        <v xml:space="preserve"> name: "Whismur"</v>
      </c>
      <c r="D293" t="str">
        <f t="shared" si="8"/>
        <v xml:space="preserve"> img: "whismur.gif"</v>
      </c>
      <c r="E293" t="str">
        <f>" type1: """&amp;MASTER!C294&amp;""""</f>
        <v xml:space="preserve"> type1: "Normal"</v>
      </c>
      <c r="F293" t="str">
        <f>" type2: """&amp;MASTER!D294&amp;""""</f>
        <v xml:space="preserve"> type2: ""</v>
      </c>
      <c r="G293" t="str">
        <f>" location: """&amp;_xlfn.TEXTJOIN(" ",1,TRIM(MASTER!M294))&amp;""""</f>
        <v xml:space="preserve"> location: "None"</v>
      </c>
      <c r="H293" t="e">
        <f>" evolve: """&amp;MASTER!#REF!&amp;""" }"</f>
        <v>#REF!</v>
      </c>
      <c r="I293" s="25" t="e">
        <f t="shared" si="9"/>
        <v>#REF!</v>
      </c>
    </row>
    <row r="294" spans="1:9" x14ac:dyDescent="0.2">
      <c r="A294" t="str">
        <f>"{ id: """&amp;MASTER!H295&amp;""""</f>
        <v>{ id: "294"</v>
      </c>
      <c r="B294" t="str">
        <f>" id2: """&amp;MASTER!G295&amp;""""</f>
        <v xml:space="preserve"> id2: ""</v>
      </c>
      <c r="C294" t="str">
        <f>" name: """&amp;MASTER!B295&amp;""""</f>
        <v xml:space="preserve"> name: "Loudred"</v>
      </c>
      <c r="D294" t="str">
        <f t="shared" si="8"/>
        <v xml:space="preserve"> img: "loudred.gif"</v>
      </c>
      <c r="E294" t="str">
        <f>" type1: """&amp;MASTER!C295&amp;""""</f>
        <v xml:space="preserve"> type1: "Normal"</v>
      </c>
      <c r="F294" t="str">
        <f>" type2: """&amp;MASTER!D295&amp;""""</f>
        <v xml:space="preserve"> type2: ""</v>
      </c>
      <c r="G294" t="str">
        <f>" location: """&amp;_xlfn.TEXTJOIN(" ",1,TRIM(MASTER!M295))&amp;""""</f>
        <v xml:space="preserve"> location: "Mt. Coronet Mountainside 📡"</v>
      </c>
      <c r="H294" t="e">
        <f>" evolve: """&amp;MASTER!#REF!&amp;""" }"</f>
        <v>#REF!</v>
      </c>
      <c r="I294" s="25" t="e">
        <f t="shared" si="9"/>
        <v>#REF!</v>
      </c>
    </row>
    <row r="295" spans="1:9" x14ac:dyDescent="0.2">
      <c r="A295" t="str">
        <f>"{ id: """&amp;MASTER!H296&amp;""""</f>
        <v>{ id: "295"</v>
      </c>
      <c r="B295" t="str">
        <f>" id2: """&amp;MASTER!G296&amp;""""</f>
        <v xml:space="preserve"> id2: ""</v>
      </c>
      <c r="C295" t="str">
        <f>" name: """&amp;MASTER!B296&amp;""""</f>
        <v xml:space="preserve"> name: "Exploud"</v>
      </c>
      <c r="D295" t="str">
        <f t="shared" si="8"/>
        <v xml:space="preserve"> img: "exploud.gif"</v>
      </c>
      <c r="E295" t="str">
        <f>" type1: """&amp;MASTER!C296&amp;""""</f>
        <v xml:space="preserve"> type1: "Normal"</v>
      </c>
      <c r="F295" t="str">
        <f>" type2: """&amp;MASTER!D296&amp;""""</f>
        <v xml:space="preserve"> type2: ""</v>
      </c>
      <c r="G295" t="str">
        <f>" location: """&amp;_xlfn.TEXTJOIN(" ",1,TRIM(MASTER!M296))&amp;""""</f>
        <v xml:space="preserve"> location: "None"</v>
      </c>
      <c r="H295" t="e">
        <f>" evolve: """&amp;MASTER!#REF!&amp;""" }"</f>
        <v>#REF!</v>
      </c>
      <c r="I295" s="25" t="e">
        <f t="shared" si="9"/>
        <v>#REF!</v>
      </c>
    </row>
    <row r="296" spans="1:9" x14ac:dyDescent="0.2">
      <c r="A296" t="str">
        <f>"{ id: """&amp;MASTER!H297&amp;""""</f>
        <v>{ id: "296"</v>
      </c>
      <c r="B296" t="str">
        <f>" id2: """&amp;MASTER!G297&amp;""""</f>
        <v xml:space="preserve"> id2: ""</v>
      </c>
      <c r="C296" t="str">
        <f>" name: """&amp;MASTER!B297&amp;""""</f>
        <v xml:space="preserve"> name: "Makuhita"</v>
      </c>
      <c r="D296" t="str">
        <f t="shared" si="8"/>
        <v xml:space="preserve"> img: "makuhita.gif"</v>
      </c>
      <c r="E296" t="str">
        <f>" type1: """&amp;MASTER!C297&amp;""""</f>
        <v xml:space="preserve"> type1: "Fighting"</v>
      </c>
      <c r="F296" t="str">
        <f>" type2: """&amp;MASTER!D297&amp;""""</f>
        <v xml:space="preserve"> type2: ""</v>
      </c>
      <c r="G296" t="str">
        <f>" location: """&amp;_xlfn.TEXTJOIN(" ",1,TRIM(MASTER!M297))&amp;""""</f>
        <v xml:space="preserve"> location: "Route 225 🐝"</v>
      </c>
      <c r="H296" t="e">
        <f>" evolve: """&amp;MASTER!#REF!&amp;""" }"</f>
        <v>#REF!</v>
      </c>
      <c r="I296" s="25" t="e">
        <f t="shared" si="9"/>
        <v>#REF!</v>
      </c>
    </row>
    <row r="297" spans="1:9" x14ac:dyDescent="0.2">
      <c r="A297" t="str">
        <f>"{ id: """&amp;MASTER!H298&amp;""""</f>
        <v>{ id: "297"</v>
      </c>
      <c r="B297" t="str">
        <f>" id2: """&amp;MASTER!G298&amp;""""</f>
        <v xml:space="preserve"> id2: ""</v>
      </c>
      <c r="C297" t="str">
        <f>" name: """&amp;MASTER!B298&amp;""""</f>
        <v xml:space="preserve"> name: "Hariyama"</v>
      </c>
      <c r="D297" t="str">
        <f t="shared" si="8"/>
        <v xml:space="preserve"> img: "hariyama.gif"</v>
      </c>
      <c r="E297" t="str">
        <f>" type1: """&amp;MASTER!C298&amp;""""</f>
        <v xml:space="preserve"> type1: "Fighting"</v>
      </c>
      <c r="F297" t="str">
        <f>" type2: """&amp;MASTER!D298&amp;""""</f>
        <v xml:space="preserve"> type2: ""</v>
      </c>
      <c r="G297" t="str">
        <f>" location: """&amp;_xlfn.TEXTJOIN(" ",1,TRIM(MASTER!M298))&amp;""""</f>
        <v xml:space="preserve"> location: "None"</v>
      </c>
      <c r="H297" t="e">
        <f>" evolve: """&amp;MASTER!#REF!&amp;""" }"</f>
        <v>#REF!</v>
      </c>
      <c r="I297" s="25" t="e">
        <f t="shared" si="9"/>
        <v>#REF!</v>
      </c>
    </row>
    <row r="298" spans="1:9" x14ac:dyDescent="0.2">
      <c r="A298" t="str">
        <f>"{ id: """&amp;MASTER!H299&amp;""""</f>
        <v>{ id: "298"</v>
      </c>
      <c r="B298" t="str">
        <f>" id2: """&amp;MASTER!G299&amp;""""</f>
        <v xml:space="preserve"> id2: "124"</v>
      </c>
      <c r="C298" t="str">
        <f>" name: """&amp;MASTER!B299&amp;""""</f>
        <v xml:space="preserve"> name: "Azurill"</v>
      </c>
      <c r="D298" t="str">
        <f t="shared" si="8"/>
        <v xml:space="preserve"> img: "azurill.gif"</v>
      </c>
      <c r="E298" t="str">
        <f>" type1: """&amp;MASTER!C299&amp;""""</f>
        <v xml:space="preserve"> type1: "Normal"</v>
      </c>
      <c r="F298" t="str">
        <f>" type2: """&amp;MASTER!D299&amp;""""</f>
        <v xml:space="preserve"> type2: "Fairy"</v>
      </c>
      <c r="G298" t="str">
        <f>" location: """&amp;_xlfn.TEXTJOIN(" ",1,TRIM(MASTER!M299))&amp;""""</f>
        <v xml:space="preserve"> location: "Great Marsh Area 5 👣 5%"</v>
      </c>
      <c r="H298" t="e">
        <f>" evolve: """&amp;MASTER!#REF!&amp;""" }"</f>
        <v>#REF!</v>
      </c>
      <c r="I298" s="25" t="e">
        <f t="shared" si="9"/>
        <v>#REF!</v>
      </c>
    </row>
    <row r="299" spans="1:9" x14ac:dyDescent="0.2">
      <c r="A299" t="str">
        <f>"{ id: """&amp;MASTER!H300&amp;""""</f>
        <v>{ id: "299"</v>
      </c>
      <c r="B299" t="str">
        <f>" id2: """&amp;MASTER!G300&amp;""""</f>
        <v xml:space="preserve"> id2: ""</v>
      </c>
      <c r="C299" t="str">
        <f>" name: """&amp;MASTER!B300&amp;""""</f>
        <v xml:space="preserve"> name: "Nosepass"</v>
      </c>
      <c r="D299" t="str">
        <f t="shared" si="8"/>
        <v xml:space="preserve"> img: "nosepass.gif"</v>
      </c>
      <c r="E299" t="str">
        <f>" type1: """&amp;MASTER!C300&amp;""""</f>
        <v xml:space="preserve"> type1: "Rock"</v>
      </c>
      <c r="F299" t="str">
        <f>" type2: """&amp;MASTER!D300&amp;""""</f>
        <v xml:space="preserve"> type2: ""</v>
      </c>
      <c r="G299" t="str">
        <f>" location: """&amp;_xlfn.TEXTJOIN(" ",1,TRIM(MASTER!M300))&amp;""""</f>
        <v xml:space="preserve"> location: "Route 206 🐝"</v>
      </c>
      <c r="H299" t="e">
        <f>" evolve: """&amp;MASTER!#REF!&amp;""" }"</f>
        <v>#REF!</v>
      </c>
      <c r="I299" s="25" t="e">
        <f t="shared" si="9"/>
        <v>#REF!</v>
      </c>
    </row>
    <row r="300" spans="1:9" x14ac:dyDescent="0.2">
      <c r="A300" t="str">
        <f>"{ id: """&amp;MASTER!H301&amp;""""</f>
        <v>{ id: "300"</v>
      </c>
      <c r="B300" t="str">
        <f>" id2: """&amp;MASTER!G301&amp;""""</f>
        <v xml:space="preserve"> id2: ""</v>
      </c>
      <c r="C300" t="str">
        <f>" name: """&amp;MASTER!B301&amp;""""</f>
        <v xml:space="preserve"> name: "Skitty"</v>
      </c>
      <c r="D300" t="str">
        <f t="shared" si="8"/>
        <v xml:space="preserve"> img: "skitty.gif"</v>
      </c>
      <c r="E300" t="str">
        <f>" type1: """&amp;MASTER!C301&amp;""""</f>
        <v xml:space="preserve"> type1: "Normal"</v>
      </c>
      <c r="F300" t="str">
        <f>" type2: """&amp;MASTER!D301&amp;""""</f>
        <v xml:space="preserve"> type2: ""</v>
      </c>
      <c r="G300" t="str">
        <f>" location: """&amp;_xlfn.TEXTJOIN(" ",1,TRIM(MASTER!M301))&amp;""""</f>
        <v xml:space="preserve"> location: "Spacious Cave 👣"</v>
      </c>
      <c r="H300" t="e">
        <f>" evolve: """&amp;MASTER!#REF!&amp;""" }"</f>
        <v>#REF!</v>
      </c>
      <c r="I300" s="25" t="e">
        <f t="shared" si="9"/>
        <v>#REF!</v>
      </c>
    </row>
    <row r="301" spans="1:9" x14ac:dyDescent="0.2">
      <c r="A301" t="str">
        <f>"{ id: """&amp;MASTER!H302&amp;""""</f>
        <v>{ id: "301"</v>
      </c>
      <c r="B301" t="str">
        <f>" id2: """&amp;MASTER!G302&amp;""""</f>
        <v xml:space="preserve"> id2: ""</v>
      </c>
      <c r="C301" t="str">
        <f>" name: """&amp;MASTER!B302&amp;""""</f>
        <v xml:space="preserve"> name: "Delcatty"</v>
      </c>
      <c r="D301" t="str">
        <f t="shared" si="8"/>
        <v xml:space="preserve"> img: "delcatty.gif"</v>
      </c>
      <c r="E301" t="str">
        <f>" type1: """&amp;MASTER!C302&amp;""""</f>
        <v xml:space="preserve"> type1: "Normal"</v>
      </c>
      <c r="F301" t="str">
        <f>" type2: """&amp;MASTER!D302&amp;""""</f>
        <v xml:space="preserve"> type2: ""</v>
      </c>
      <c r="G301" t="str">
        <f>" location: """&amp;_xlfn.TEXTJOIN(" ",1,TRIM(MASTER!M302))&amp;""""</f>
        <v xml:space="preserve"> location: "None"</v>
      </c>
      <c r="H301" t="e">
        <f>" evolve: """&amp;MASTER!#REF!&amp;""" }"</f>
        <v>#REF!</v>
      </c>
      <c r="I301" s="25" t="e">
        <f t="shared" si="9"/>
        <v>#REF!</v>
      </c>
    </row>
    <row r="302" spans="1:9" x14ac:dyDescent="0.2">
      <c r="A302" t="str">
        <f>"{ id: """&amp;MASTER!H303&amp;""""</f>
        <v>{ id: "302"</v>
      </c>
      <c r="B302" t="str">
        <f>" id2: """&amp;MASTER!G303&amp;""""</f>
        <v xml:space="preserve"> id2: ""</v>
      </c>
      <c r="C302" t="str">
        <f>" name: """&amp;MASTER!B303&amp;""""</f>
        <v xml:space="preserve"> name: "Sableye"</v>
      </c>
      <c r="D302" t="str">
        <f t="shared" si="8"/>
        <v xml:space="preserve"> img: "sableye.gif"</v>
      </c>
      <c r="E302" t="str">
        <f>" type1: """&amp;MASTER!C303&amp;""""</f>
        <v xml:space="preserve"> type1: "Dark"</v>
      </c>
      <c r="F302" t="str">
        <f>" type2: """&amp;MASTER!D303&amp;""""</f>
        <v xml:space="preserve"> type2: "Ghost"</v>
      </c>
      <c r="G302" t="str">
        <f>" location: """&amp;_xlfn.TEXTJOIN(" ",1,TRIM(MASTER!M303))&amp;""""</f>
        <v xml:space="preserve"> location: "Dazzling Cave ⚪only"</v>
      </c>
      <c r="H302" t="e">
        <f>" evolve: """&amp;MASTER!#REF!&amp;""" }"</f>
        <v>#REF!</v>
      </c>
      <c r="I302" s="25" t="e">
        <f t="shared" si="9"/>
        <v>#REF!</v>
      </c>
    </row>
    <row r="303" spans="1:9" x14ac:dyDescent="0.2">
      <c r="A303" t="str">
        <f>"{ id: """&amp;MASTER!H304&amp;""""</f>
        <v>{ id: "303"</v>
      </c>
      <c r="B303" t="str">
        <f>" id2: """&amp;MASTER!G304&amp;""""</f>
        <v xml:space="preserve"> id2: ""</v>
      </c>
      <c r="C303" t="str">
        <f>" name: """&amp;MASTER!B304&amp;""""</f>
        <v xml:space="preserve"> name: "Mawile"</v>
      </c>
      <c r="D303" t="str">
        <f t="shared" si="8"/>
        <v xml:space="preserve"> img: "mawile.gif"</v>
      </c>
      <c r="E303" t="str">
        <f>" type1: """&amp;MASTER!C304&amp;""""</f>
        <v xml:space="preserve"> type1: "Steel"</v>
      </c>
      <c r="F303" t="str">
        <f>" type2: """&amp;MASTER!D304&amp;""""</f>
        <v xml:space="preserve"> type2: "Fairy"</v>
      </c>
      <c r="G303" t="str">
        <f>" location: """&amp;_xlfn.TEXTJOIN(" ",1,TRIM(MASTER!M304))&amp;""""</f>
        <v xml:space="preserve"> location: "Dazzling Cave 💎only"</v>
      </c>
      <c r="H303" t="e">
        <f>" evolve: """&amp;MASTER!#REF!&amp;""" }"</f>
        <v>#REF!</v>
      </c>
      <c r="I303" s="25" t="e">
        <f t="shared" si="9"/>
        <v>#REF!</v>
      </c>
    </row>
    <row r="304" spans="1:9" x14ac:dyDescent="0.2">
      <c r="A304" t="str">
        <f>"{ id: """&amp;MASTER!H305&amp;""""</f>
        <v>{ id: "304"</v>
      </c>
      <c r="B304" t="str">
        <f>" id2: """&amp;MASTER!G305&amp;""""</f>
        <v xml:space="preserve"> id2: ""</v>
      </c>
      <c r="C304" t="str">
        <f>" name: """&amp;MASTER!B305&amp;""""</f>
        <v xml:space="preserve"> name: "Aron"</v>
      </c>
      <c r="D304" t="str">
        <f t="shared" si="8"/>
        <v xml:space="preserve"> img: "aron.gif"</v>
      </c>
      <c r="E304" t="str">
        <f>" type1: """&amp;MASTER!C305&amp;""""</f>
        <v xml:space="preserve"> type1: "Steel"</v>
      </c>
      <c r="F304" t="str">
        <f>" type2: """&amp;MASTER!D305&amp;""""</f>
        <v xml:space="preserve"> type2: "Rock"</v>
      </c>
      <c r="G304" t="str">
        <f>" location: """&amp;_xlfn.TEXTJOIN(" ",1,TRIM(MASTER!M305))&amp;""""</f>
        <v xml:space="preserve"> location: "Rocky Cave 👣"</v>
      </c>
      <c r="H304" t="e">
        <f>" evolve: """&amp;MASTER!#REF!&amp;""" }"</f>
        <v>#REF!</v>
      </c>
      <c r="I304" s="25" t="e">
        <f t="shared" si="9"/>
        <v>#REF!</v>
      </c>
    </row>
    <row r="305" spans="1:9" x14ac:dyDescent="0.2">
      <c r="A305" t="str">
        <f>"{ id: """&amp;MASTER!H306&amp;""""</f>
        <v>{ id: "305"</v>
      </c>
      <c r="B305" t="str">
        <f>" id2: """&amp;MASTER!G306&amp;""""</f>
        <v xml:space="preserve"> id2: ""</v>
      </c>
      <c r="C305" t="str">
        <f>" name: """&amp;MASTER!B306&amp;""""</f>
        <v xml:space="preserve"> name: "Lairon"</v>
      </c>
      <c r="D305" t="str">
        <f t="shared" si="8"/>
        <v xml:space="preserve"> img: "lairon.gif"</v>
      </c>
      <c r="E305" t="str">
        <f>" type1: """&amp;MASTER!C306&amp;""""</f>
        <v xml:space="preserve"> type1: "Steel"</v>
      </c>
      <c r="F305" t="str">
        <f>" type2: """&amp;MASTER!D306&amp;""""</f>
        <v xml:space="preserve"> type2: "Rock"</v>
      </c>
      <c r="G305" t="str">
        <f>" location: """&amp;_xlfn.TEXTJOIN(" ",1,TRIM(MASTER!M306))&amp;""""</f>
        <v xml:space="preserve"> location: "Rocky Cave 👣"</v>
      </c>
      <c r="H305" t="e">
        <f>" evolve: """&amp;MASTER!#REF!&amp;""" }"</f>
        <v>#REF!</v>
      </c>
      <c r="I305" s="25" t="e">
        <f t="shared" si="9"/>
        <v>#REF!</v>
      </c>
    </row>
    <row r="306" spans="1:9" x14ac:dyDescent="0.2">
      <c r="A306" t="str">
        <f>"{ id: """&amp;MASTER!H307&amp;""""</f>
        <v>{ id: "306"</v>
      </c>
      <c r="B306" t="str">
        <f>" id2: """&amp;MASTER!G307&amp;""""</f>
        <v xml:space="preserve"> id2: ""</v>
      </c>
      <c r="C306" t="str">
        <f>" name: """&amp;MASTER!B307&amp;""""</f>
        <v xml:space="preserve"> name: "Aggron"</v>
      </c>
      <c r="D306" t="str">
        <f t="shared" si="8"/>
        <v xml:space="preserve"> img: "aggron.gif"</v>
      </c>
      <c r="E306" t="str">
        <f>" type1: """&amp;MASTER!C307&amp;""""</f>
        <v xml:space="preserve"> type1: "Steel"</v>
      </c>
      <c r="F306" t="str">
        <f>" type2: """&amp;MASTER!D307&amp;""""</f>
        <v xml:space="preserve"> type2: "Rock"</v>
      </c>
      <c r="G306" t="str">
        <f>" location: """&amp;_xlfn.TEXTJOIN(" ",1,TRIM(MASTER!M307))&amp;""""</f>
        <v xml:space="preserve"> location: "None"</v>
      </c>
      <c r="H306" t="e">
        <f>" evolve: """&amp;MASTER!#REF!&amp;""" }"</f>
        <v>#REF!</v>
      </c>
      <c r="I306" s="25" t="e">
        <f t="shared" si="9"/>
        <v>#REF!</v>
      </c>
    </row>
    <row r="307" spans="1:9" x14ac:dyDescent="0.2">
      <c r="A307" t="str">
        <f>"{ id: """&amp;MASTER!H308&amp;""""</f>
        <v>{ id: "307"</v>
      </c>
      <c r="B307" t="str">
        <f>" id2: """&amp;MASTER!G308&amp;""""</f>
        <v xml:space="preserve"> id2: "086"</v>
      </c>
      <c r="C307" t="str">
        <f>" name: """&amp;MASTER!B308&amp;""""</f>
        <v xml:space="preserve"> name: "Meditite"</v>
      </c>
      <c r="D307" t="str">
        <f t="shared" si="8"/>
        <v xml:space="preserve"> img: "meditite.gif"</v>
      </c>
      <c r="E307" t="str">
        <f>" type1: """&amp;MASTER!C308&amp;""""</f>
        <v xml:space="preserve"> type1: "Fighting"</v>
      </c>
      <c r="F307" t="str">
        <f>" type2: """&amp;MASTER!D308&amp;""""</f>
        <v xml:space="preserve"> type2: "Psychic"</v>
      </c>
      <c r="G307" t="str">
        <f>" location: """&amp;_xlfn.TEXTJOIN(" ",1,TRIM(MASTER!M308))&amp;""""</f>
        <v xml:space="preserve"> location: "Dazzling Cave (Know Strength) 👣"</v>
      </c>
      <c r="H307" t="e">
        <f>" evolve: """&amp;MASTER!#REF!&amp;""" }"</f>
        <v>#REF!</v>
      </c>
      <c r="I307" s="25" t="e">
        <f t="shared" si="9"/>
        <v>#REF!</v>
      </c>
    </row>
    <row r="308" spans="1:9" x14ac:dyDescent="0.2">
      <c r="A308" t="str">
        <f>"{ id: """&amp;MASTER!H309&amp;""""</f>
        <v>{ id: "308"</v>
      </c>
      <c r="B308" t="str">
        <f>" id2: """&amp;MASTER!G309&amp;""""</f>
        <v xml:space="preserve"> id2: "087"</v>
      </c>
      <c r="C308" t="str">
        <f>" name: """&amp;MASTER!B309&amp;""""</f>
        <v xml:space="preserve"> name: "Medicham"</v>
      </c>
      <c r="D308" t="str">
        <f t="shared" si="8"/>
        <v xml:space="preserve"> img: "medicham.gif"</v>
      </c>
      <c r="E308" t="str">
        <f>" type1: """&amp;MASTER!C309&amp;""""</f>
        <v xml:space="preserve"> type1: "Fighting"</v>
      </c>
      <c r="F308" t="str">
        <f>" type2: """&amp;MASTER!D309&amp;""""</f>
        <v xml:space="preserve"> type2: "Psychic"</v>
      </c>
      <c r="G308" t="str">
        <f>" location: """&amp;_xlfn.TEXTJOIN(" ",1,TRIM(MASTER!M309))&amp;""""</f>
        <v xml:space="preserve"> location: "Victory Road 1F 👣 15%"</v>
      </c>
      <c r="H308" t="e">
        <f>" evolve: """&amp;MASTER!#REF!&amp;""" }"</f>
        <v>#REF!</v>
      </c>
      <c r="I308" s="25" t="e">
        <f t="shared" si="9"/>
        <v>#REF!</v>
      </c>
    </row>
    <row r="309" spans="1:9" x14ac:dyDescent="0.2">
      <c r="A309" t="str">
        <f>"{ id: """&amp;MASTER!H310&amp;""""</f>
        <v>{ id: "309"</v>
      </c>
      <c r="B309" t="str">
        <f>" id2: """&amp;MASTER!G310&amp;""""</f>
        <v xml:space="preserve"> id2: ""</v>
      </c>
      <c r="C309" t="str">
        <f>" name: """&amp;MASTER!B310&amp;""""</f>
        <v xml:space="preserve"> name: "Electrike"</v>
      </c>
      <c r="D309" t="str">
        <f t="shared" si="8"/>
        <v xml:space="preserve"> img: "electrike.gif"</v>
      </c>
      <c r="E309" t="str">
        <f>" type1: """&amp;MASTER!C310&amp;""""</f>
        <v xml:space="preserve"> type1: "Electric"</v>
      </c>
      <c r="F309" t="str">
        <f>" type2: """&amp;MASTER!D310&amp;""""</f>
        <v xml:space="preserve"> type2: ""</v>
      </c>
      <c r="G309" t="str">
        <f>" location: """&amp;_xlfn.TEXTJOIN(" ",1,TRIM(MASTER!M310))&amp;""""</f>
        <v xml:space="preserve"> location: "Valley Windworks 🐝"</v>
      </c>
      <c r="H309" t="e">
        <f>" evolve: """&amp;MASTER!#REF!&amp;""" }"</f>
        <v>#REF!</v>
      </c>
      <c r="I309" s="25" t="e">
        <f t="shared" si="9"/>
        <v>#REF!</v>
      </c>
    </row>
    <row r="310" spans="1:9" x14ac:dyDescent="0.2">
      <c r="A310" t="str">
        <f>"{ id: """&amp;MASTER!H311&amp;""""</f>
        <v>{ id: "310"</v>
      </c>
      <c r="B310" t="str">
        <f>" id2: """&amp;MASTER!G311&amp;""""</f>
        <v xml:space="preserve"> id2: ""</v>
      </c>
      <c r="C310" t="str">
        <f>" name: """&amp;MASTER!B311&amp;""""</f>
        <v xml:space="preserve"> name: "Manectric"</v>
      </c>
      <c r="D310" t="str">
        <f t="shared" si="8"/>
        <v xml:space="preserve"> img: "manectric.gif"</v>
      </c>
      <c r="E310" t="str">
        <f>" type1: """&amp;MASTER!C311&amp;""""</f>
        <v xml:space="preserve"> type1: "Electric"</v>
      </c>
      <c r="F310" t="str">
        <f>" type2: """&amp;MASTER!D311&amp;""""</f>
        <v xml:space="preserve"> type2: ""</v>
      </c>
      <c r="G310" t="str">
        <f>" location: """&amp;_xlfn.TEXTJOIN(" ",1,TRIM(MASTER!M311))&amp;""""</f>
        <v xml:space="preserve"> location: "None"</v>
      </c>
      <c r="H310" t="e">
        <f>" evolve: """&amp;MASTER!#REF!&amp;""" }"</f>
        <v>#REF!</v>
      </c>
      <c r="I310" s="25" t="e">
        <f t="shared" si="9"/>
        <v>#REF!</v>
      </c>
    </row>
    <row r="311" spans="1:9" x14ac:dyDescent="0.2">
      <c r="A311" t="str">
        <f>"{ id: """&amp;MASTER!H312&amp;""""</f>
        <v>{ id: "311"</v>
      </c>
      <c r="B311" t="str">
        <f>" id2: """&amp;MASTER!G312&amp;""""</f>
        <v xml:space="preserve"> id2: ""</v>
      </c>
      <c r="C311" t="str">
        <f>" name: """&amp;MASTER!B312&amp;""""</f>
        <v xml:space="preserve"> name: "Plusle"</v>
      </c>
      <c r="D311" t="str">
        <f t="shared" si="8"/>
        <v xml:space="preserve"> img: "plusle.gif"</v>
      </c>
      <c r="E311" t="str">
        <f>" type1: """&amp;MASTER!C312&amp;""""</f>
        <v xml:space="preserve"> type1: "Electric"</v>
      </c>
      <c r="F311" t="str">
        <f>" type2: """&amp;MASTER!D312&amp;""""</f>
        <v xml:space="preserve"> type2: ""</v>
      </c>
      <c r="G311" t="str">
        <f>" location: """&amp;_xlfn.TEXTJOIN(" ",1,TRIM(MASTER!M312))&amp;""""</f>
        <v xml:space="preserve"> location: "Trophy Garden (Special) 👣"</v>
      </c>
      <c r="H311" t="e">
        <f>" evolve: """&amp;MASTER!#REF!&amp;""" }"</f>
        <v>#REF!</v>
      </c>
      <c r="I311" s="25" t="e">
        <f t="shared" si="9"/>
        <v>#REF!</v>
      </c>
    </row>
    <row r="312" spans="1:9" x14ac:dyDescent="0.2">
      <c r="A312" t="str">
        <f>"{ id: """&amp;MASTER!H313&amp;""""</f>
        <v>{ id: "312"</v>
      </c>
      <c r="B312" t="str">
        <f>" id2: """&amp;MASTER!G313&amp;""""</f>
        <v xml:space="preserve"> id2: ""</v>
      </c>
      <c r="C312" t="str">
        <f>" name: """&amp;MASTER!B313&amp;""""</f>
        <v xml:space="preserve"> name: "Minun"</v>
      </c>
      <c r="D312" t="str">
        <f t="shared" si="8"/>
        <v xml:space="preserve"> img: "minun.gif"</v>
      </c>
      <c r="E312" t="str">
        <f>" type1: """&amp;MASTER!C313&amp;""""</f>
        <v xml:space="preserve"> type1: "Electric"</v>
      </c>
      <c r="F312" t="str">
        <f>" type2: """&amp;MASTER!D313&amp;""""</f>
        <v xml:space="preserve"> type2: ""</v>
      </c>
      <c r="G312" t="str">
        <f>" location: """&amp;_xlfn.TEXTJOIN(" ",1,TRIM(MASTER!M313))&amp;""""</f>
        <v xml:space="preserve"> location: "Trophy Garden (Special) 👣"</v>
      </c>
      <c r="H312" t="e">
        <f>" evolve: """&amp;MASTER!#REF!&amp;""" }"</f>
        <v>#REF!</v>
      </c>
      <c r="I312" s="25" t="e">
        <f t="shared" si="9"/>
        <v>#REF!</v>
      </c>
    </row>
    <row r="313" spans="1:9" x14ac:dyDescent="0.2">
      <c r="A313" t="str">
        <f>"{ id: """&amp;MASTER!H314&amp;""""</f>
        <v>{ id: "313"</v>
      </c>
      <c r="B313" t="str">
        <f>" id2: """&amp;MASTER!G314&amp;""""</f>
        <v xml:space="preserve"> id2: ""</v>
      </c>
      <c r="C313" t="str">
        <f>" name: """&amp;MASTER!B314&amp;""""</f>
        <v xml:space="preserve"> name: "Volbeat"</v>
      </c>
      <c r="D313" t="str">
        <f t="shared" si="8"/>
        <v xml:space="preserve"> img: "volbeat.gif"</v>
      </c>
      <c r="E313" t="str">
        <f>" type1: """&amp;MASTER!C314&amp;""""</f>
        <v xml:space="preserve"> type1: "Bug"</v>
      </c>
      <c r="F313" t="str">
        <f>" type2: """&amp;MASTER!D314&amp;""""</f>
        <v xml:space="preserve"> type2: ""</v>
      </c>
      <c r="G313" t="str">
        <f>" location: """&amp;_xlfn.TEXTJOIN(" ",1,TRIM(MASTER!M314))&amp;""""</f>
        <v xml:space="preserve"> location: "Grassland Cave 👣"</v>
      </c>
      <c r="H313" t="e">
        <f>" evolve: """&amp;MASTER!#REF!&amp;""" }"</f>
        <v>#REF!</v>
      </c>
      <c r="I313" s="25" t="e">
        <f t="shared" si="9"/>
        <v>#REF!</v>
      </c>
    </row>
    <row r="314" spans="1:9" x14ac:dyDescent="0.2">
      <c r="A314" t="str">
        <f>"{ id: """&amp;MASTER!H315&amp;""""</f>
        <v>{ id: "314"</v>
      </c>
      <c r="B314" t="str">
        <f>" id2: """&amp;MASTER!G315&amp;""""</f>
        <v xml:space="preserve"> id2: ""</v>
      </c>
      <c r="C314" t="str">
        <f>" name: """&amp;MASTER!B315&amp;""""</f>
        <v xml:space="preserve"> name: "Illumise"</v>
      </c>
      <c r="D314" t="str">
        <f t="shared" si="8"/>
        <v xml:space="preserve"> img: "illumise.gif"</v>
      </c>
      <c r="E314" t="str">
        <f>" type1: """&amp;MASTER!C315&amp;""""</f>
        <v xml:space="preserve"> type1: "Bug"</v>
      </c>
      <c r="F314" t="str">
        <f>" type2: """&amp;MASTER!D315&amp;""""</f>
        <v xml:space="preserve"> type2: ""</v>
      </c>
      <c r="G314" t="str">
        <f>" location: """&amp;_xlfn.TEXTJOIN(" ",1,TRIM(MASTER!M315))&amp;""""</f>
        <v xml:space="preserve"> location: "Grassland Cave 👣"</v>
      </c>
      <c r="H314" t="e">
        <f>" evolve: """&amp;MASTER!#REF!&amp;""" }"</f>
        <v>#REF!</v>
      </c>
      <c r="I314" s="25" t="e">
        <f t="shared" si="9"/>
        <v>#REF!</v>
      </c>
    </row>
    <row r="315" spans="1:9" x14ac:dyDescent="0.2">
      <c r="A315" t="str">
        <f>"{ id: """&amp;MASTER!H316&amp;""""</f>
        <v>{ id: "315"</v>
      </c>
      <c r="B315" t="str">
        <f>" id2: """&amp;MASTER!G316&amp;""""</f>
        <v xml:space="preserve"> id2: "026"</v>
      </c>
      <c r="C315" t="str">
        <f>" name: """&amp;MASTER!B316&amp;""""</f>
        <v xml:space="preserve"> name: "Roselia"</v>
      </c>
      <c r="D315" t="str">
        <f t="shared" si="8"/>
        <v xml:space="preserve"> img: "roselia.gif"</v>
      </c>
      <c r="E315" t="str">
        <f>" type1: """&amp;MASTER!C316&amp;""""</f>
        <v xml:space="preserve"> type1: "Grass"</v>
      </c>
      <c r="F315" t="str">
        <f>" type2: """&amp;MASTER!D316&amp;""""</f>
        <v xml:space="preserve"> type2: "Poison"</v>
      </c>
      <c r="G315" t="str">
        <f>" location: """&amp;_xlfn.TEXTJOIN(" ",1,TRIM(MASTER!M316))&amp;""""</f>
        <v xml:space="preserve"> location: "Grassland Cave 👣"</v>
      </c>
      <c r="H315" t="e">
        <f>" evolve: """&amp;MASTER!#REF!&amp;""" }"</f>
        <v>#REF!</v>
      </c>
      <c r="I315" s="25" t="e">
        <f t="shared" si="9"/>
        <v>#REF!</v>
      </c>
    </row>
    <row r="316" spans="1:9" x14ac:dyDescent="0.2">
      <c r="A316" t="str">
        <f>"{ id: """&amp;MASTER!H317&amp;""""</f>
        <v>{ id: "316"</v>
      </c>
      <c r="B316" t="str">
        <f>" id2: """&amp;MASTER!G317&amp;""""</f>
        <v xml:space="preserve"> id2: ""</v>
      </c>
      <c r="C316" t="str">
        <f>" name: """&amp;MASTER!B317&amp;""""</f>
        <v xml:space="preserve"> name: "Gulpin"</v>
      </c>
      <c r="D316" t="str">
        <f t="shared" si="8"/>
        <v xml:space="preserve"> img: "gulpin.gif"</v>
      </c>
      <c r="E316" t="str">
        <f>" type1: """&amp;MASTER!C317&amp;""""</f>
        <v xml:space="preserve"> type1: "Poison"</v>
      </c>
      <c r="F316" t="str">
        <f>" type2: """&amp;MASTER!D317&amp;""""</f>
        <v xml:space="preserve"> type2: ""</v>
      </c>
      <c r="G316" t="str">
        <f>" location: """&amp;_xlfn.TEXTJOIN(" ",1,TRIM(MASTER!M317))&amp;""""</f>
        <v xml:space="preserve"> location: "Great Marsh (Special) 👣"</v>
      </c>
      <c r="H316" t="e">
        <f>" evolve: """&amp;MASTER!#REF!&amp;""" }"</f>
        <v>#REF!</v>
      </c>
      <c r="I316" s="25" t="e">
        <f t="shared" si="9"/>
        <v>#REF!</v>
      </c>
    </row>
    <row r="317" spans="1:9" x14ac:dyDescent="0.2">
      <c r="A317" t="str">
        <f>"{ id: """&amp;MASTER!H318&amp;""""</f>
        <v>{ id: "317"</v>
      </c>
      <c r="B317" t="str">
        <f>" id2: """&amp;MASTER!G318&amp;""""</f>
        <v xml:space="preserve"> id2: ""</v>
      </c>
      <c r="C317" t="str">
        <f>" name: """&amp;MASTER!B318&amp;""""</f>
        <v xml:space="preserve"> name: "Swalot"</v>
      </c>
      <c r="D317" t="str">
        <f t="shared" si="8"/>
        <v xml:space="preserve"> img: "swalot.gif"</v>
      </c>
      <c r="E317" t="str">
        <f>" type1: """&amp;MASTER!C318&amp;""""</f>
        <v xml:space="preserve"> type1: "Poison"</v>
      </c>
      <c r="F317" t="str">
        <f>" type2: """&amp;MASTER!D318&amp;""""</f>
        <v xml:space="preserve"> type2: ""</v>
      </c>
      <c r="G317" t="str">
        <f>" location: """&amp;_xlfn.TEXTJOIN(" ",1,TRIM(MASTER!M318))&amp;""""</f>
        <v xml:space="preserve"> location: "None"</v>
      </c>
      <c r="H317" t="e">
        <f>" evolve: """&amp;MASTER!#REF!&amp;""" }"</f>
        <v>#REF!</v>
      </c>
      <c r="I317" s="25" t="e">
        <f t="shared" si="9"/>
        <v>#REF!</v>
      </c>
    </row>
    <row r="318" spans="1:9" x14ac:dyDescent="0.2">
      <c r="A318" t="str">
        <f>"{ id: """&amp;MASTER!H319&amp;""""</f>
        <v>{ id: "318"</v>
      </c>
      <c r="B318" t="str">
        <f>" id2: """&amp;MASTER!G319&amp;""""</f>
        <v xml:space="preserve"> id2: ""</v>
      </c>
      <c r="C318" t="str">
        <f>" name: """&amp;MASTER!B319&amp;""""</f>
        <v xml:space="preserve"> name: "Carvanha"</v>
      </c>
      <c r="D318" t="str">
        <f t="shared" si="8"/>
        <v xml:space="preserve"> img: "carvanha.gif"</v>
      </c>
      <c r="E318" t="str">
        <f>" type1: """&amp;MASTER!C319&amp;""""</f>
        <v xml:space="preserve"> type1: "Water"</v>
      </c>
      <c r="F318" t="str">
        <f>" type2: """&amp;MASTER!D319&amp;""""</f>
        <v xml:space="preserve"> type2: "Dark"</v>
      </c>
      <c r="G318" t="str">
        <f>" location: """&amp;_xlfn.TEXTJOIN(" ",1,TRIM(MASTER!M319))&amp;""""</f>
        <v xml:space="preserve"> location: "Fountainspring Cave 👣"</v>
      </c>
      <c r="H318" t="e">
        <f>" evolve: """&amp;MASTER!#REF!&amp;""" }"</f>
        <v>#REF!</v>
      </c>
      <c r="I318" s="25" t="e">
        <f t="shared" si="9"/>
        <v>#REF!</v>
      </c>
    </row>
    <row r="319" spans="1:9" x14ac:dyDescent="0.2">
      <c r="A319" t="str">
        <f>"{ id: """&amp;MASTER!H320&amp;""""</f>
        <v>{ id: "319"</v>
      </c>
      <c r="B319" t="str">
        <f>" id2: """&amp;MASTER!G320&amp;""""</f>
        <v xml:space="preserve"> id2: ""</v>
      </c>
      <c r="C319" t="str">
        <f>" name: """&amp;MASTER!B320&amp;""""</f>
        <v xml:space="preserve"> name: "Sharpedo"</v>
      </c>
      <c r="D319" t="str">
        <f t="shared" si="8"/>
        <v xml:space="preserve"> img: "sharpedo.gif"</v>
      </c>
      <c r="E319" t="str">
        <f>" type1: """&amp;MASTER!C320&amp;""""</f>
        <v xml:space="preserve"> type1: "Water"</v>
      </c>
      <c r="F319" t="str">
        <f>" type2: """&amp;MASTER!D320&amp;""""</f>
        <v xml:space="preserve"> type2: "Dark"</v>
      </c>
      <c r="G319" t="str">
        <f>" location: """&amp;_xlfn.TEXTJOIN(" ",1,TRIM(MASTER!M320))&amp;""""</f>
        <v xml:space="preserve"> location: "Route 213 🎣Super"</v>
      </c>
      <c r="H319" t="e">
        <f>" evolve: """&amp;MASTER!#REF!&amp;""" }"</f>
        <v>#REF!</v>
      </c>
      <c r="I319" s="25" t="e">
        <f t="shared" si="9"/>
        <v>#REF!</v>
      </c>
    </row>
    <row r="320" spans="1:9" x14ac:dyDescent="0.2">
      <c r="A320" t="str">
        <f>"{ id: """&amp;MASTER!H321&amp;""""</f>
        <v>{ id: "320"</v>
      </c>
      <c r="B320" t="str">
        <f>" id2: """&amp;MASTER!G321&amp;""""</f>
        <v xml:space="preserve"> id2: ""</v>
      </c>
      <c r="C320" t="str">
        <f>" name: """&amp;MASTER!B321&amp;""""</f>
        <v xml:space="preserve"> name: "Wailmer"</v>
      </c>
      <c r="D320" t="str">
        <f t="shared" si="8"/>
        <v xml:space="preserve"> img: "wailmer.gif"</v>
      </c>
      <c r="E320" t="str">
        <f>" type1: """&amp;MASTER!C321&amp;""""</f>
        <v xml:space="preserve"> type1: "Water"</v>
      </c>
      <c r="F320" t="str">
        <f>" type2: """&amp;MASTER!D321&amp;""""</f>
        <v xml:space="preserve"> type2: ""</v>
      </c>
      <c r="G320" t="str">
        <f>" location: """&amp;_xlfn.TEXTJOIN(" ",1,TRIM(MASTER!M321))&amp;""""</f>
        <v xml:space="preserve"> location: "Route 223 🎣Super"</v>
      </c>
      <c r="H320" t="e">
        <f>" evolve: """&amp;MASTER!#REF!&amp;""" }"</f>
        <v>#REF!</v>
      </c>
      <c r="I320" s="25" t="e">
        <f t="shared" si="9"/>
        <v>#REF!</v>
      </c>
    </row>
    <row r="321" spans="1:9" x14ac:dyDescent="0.2">
      <c r="A321" t="str">
        <f>"{ id: """&amp;MASTER!H322&amp;""""</f>
        <v>{ id: "321"</v>
      </c>
      <c r="B321" t="str">
        <f>" id2: """&amp;MASTER!G322&amp;""""</f>
        <v xml:space="preserve"> id2: ""</v>
      </c>
      <c r="C321" t="str">
        <f>" name: """&amp;MASTER!B322&amp;""""</f>
        <v xml:space="preserve"> name: "Wailord"</v>
      </c>
      <c r="D321" t="str">
        <f t="shared" si="8"/>
        <v xml:space="preserve"> img: "wailord.gif"</v>
      </c>
      <c r="E321" t="str">
        <f>" type1: """&amp;MASTER!C322&amp;""""</f>
        <v xml:space="preserve"> type1: "Water"</v>
      </c>
      <c r="F321" t="str">
        <f>" type2: """&amp;MASTER!D322&amp;""""</f>
        <v xml:space="preserve"> type2: ""</v>
      </c>
      <c r="G321" t="str">
        <f>" location: """&amp;_xlfn.TEXTJOIN(" ",1,TRIM(MASTER!M322))&amp;""""</f>
        <v xml:space="preserve"> location: "Route 223 🎣Super 5%"</v>
      </c>
      <c r="H321" t="e">
        <f>" evolve: """&amp;MASTER!#REF!&amp;""" }"</f>
        <v>#REF!</v>
      </c>
      <c r="I321" s="25" t="e">
        <f t="shared" si="9"/>
        <v>#REF!</v>
      </c>
    </row>
    <row r="322" spans="1:9" x14ac:dyDescent="0.2">
      <c r="A322" t="str">
        <f>"{ id: """&amp;MASTER!H323&amp;""""</f>
        <v>{ id: "322"</v>
      </c>
      <c r="B322" t="str">
        <f>" id2: """&amp;MASTER!G323&amp;""""</f>
        <v xml:space="preserve"> id2: ""</v>
      </c>
      <c r="C322" t="str">
        <f>" name: """&amp;MASTER!B323&amp;""""</f>
        <v xml:space="preserve"> name: "Numel"</v>
      </c>
      <c r="D322" t="str">
        <f t="shared" ref="D322:D385" si="10">" img: """&amp;LOWER(MID(C322,9,LEN(C322)-9))&amp;".gif"""</f>
        <v xml:space="preserve"> img: "numel.gif"</v>
      </c>
      <c r="E322" t="str">
        <f>" type1: """&amp;MASTER!C323&amp;""""</f>
        <v xml:space="preserve"> type1: "Fire"</v>
      </c>
      <c r="F322" t="str">
        <f>" type2: """&amp;MASTER!D323&amp;""""</f>
        <v xml:space="preserve"> type2: "Ground"</v>
      </c>
      <c r="G322" t="str">
        <f>" location: """&amp;_xlfn.TEXTJOIN(" ",1,TRIM(MASTER!M323))&amp;""""</f>
        <v xml:space="preserve"> location: "Rocky Cave 👣"</v>
      </c>
      <c r="H322" t="e">
        <f>" evolve: """&amp;MASTER!#REF!&amp;""" }"</f>
        <v>#REF!</v>
      </c>
      <c r="I322" s="25" t="e">
        <f t="shared" ref="I322:I385" si="11">_xlfn.TEXTJOIN(",",1,A322:H322)&amp;","</f>
        <v>#REF!</v>
      </c>
    </row>
    <row r="323" spans="1:9" x14ac:dyDescent="0.2">
      <c r="A323" t="str">
        <f>"{ id: """&amp;MASTER!H324&amp;""""</f>
        <v>{ id: "323"</v>
      </c>
      <c r="B323" t="str">
        <f>" id2: """&amp;MASTER!G324&amp;""""</f>
        <v xml:space="preserve"> id2: ""</v>
      </c>
      <c r="C323" t="str">
        <f>" name: """&amp;MASTER!B324&amp;""""</f>
        <v xml:space="preserve"> name: "Camerupt"</v>
      </c>
      <c r="D323" t="str">
        <f t="shared" si="10"/>
        <v xml:space="preserve"> img: "camerupt.gif"</v>
      </c>
      <c r="E323" t="str">
        <f>" type1: """&amp;MASTER!C324&amp;""""</f>
        <v xml:space="preserve"> type1: "Fire"</v>
      </c>
      <c r="F323" t="str">
        <f>" type2: """&amp;MASTER!D324&amp;""""</f>
        <v xml:space="preserve"> type2: "Ground"</v>
      </c>
      <c r="G323" t="str">
        <f>" location: """&amp;_xlfn.TEXTJOIN(" ",1,TRIM(MASTER!M324))&amp;""""</f>
        <v xml:space="preserve"> location: "Rocky Cave 👣"</v>
      </c>
      <c r="H323" t="e">
        <f>" evolve: """&amp;MASTER!#REF!&amp;""" }"</f>
        <v>#REF!</v>
      </c>
      <c r="I323" s="25" t="e">
        <f t="shared" si="11"/>
        <v>#REF!</v>
      </c>
    </row>
    <row r="324" spans="1:9" x14ac:dyDescent="0.2">
      <c r="A324" t="str">
        <f>"{ id: """&amp;MASTER!H325&amp;""""</f>
        <v>{ id: "324"</v>
      </c>
      <c r="B324" t="str">
        <f>" id2: """&amp;MASTER!G325&amp;""""</f>
        <v xml:space="preserve"> id2: ""</v>
      </c>
      <c r="C324" t="str">
        <f>" name: """&amp;MASTER!B325&amp;""""</f>
        <v xml:space="preserve"> name: "Torkoal"</v>
      </c>
      <c r="D324" t="str">
        <f t="shared" si="10"/>
        <v xml:space="preserve"> img: "torkoal.gif"</v>
      </c>
      <c r="E324" t="str">
        <f>" type1: """&amp;MASTER!C325&amp;""""</f>
        <v xml:space="preserve"> type1: "Fire"</v>
      </c>
      <c r="F324" t="str">
        <f>" type2: """&amp;MASTER!D325&amp;""""</f>
        <v xml:space="preserve"> type2: ""</v>
      </c>
      <c r="G324" t="str">
        <f>" location: """&amp;_xlfn.TEXTJOIN(" ",1,TRIM(MASTER!M325))&amp;""""</f>
        <v xml:space="preserve"> location: "Volcanic Cave 👣"</v>
      </c>
      <c r="H324" t="e">
        <f>" evolve: """&amp;MASTER!#REF!&amp;""" }"</f>
        <v>#REF!</v>
      </c>
      <c r="I324" s="25" t="e">
        <f t="shared" si="11"/>
        <v>#REF!</v>
      </c>
    </row>
    <row r="325" spans="1:9" x14ac:dyDescent="0.2">
      <c r="A325" t="str">
        <f>"{ id: """&amp;MASTER!H326&amp;""""</f>
        <v>{ id: "325"</v>
      </c>
      <c r="B325" t="str">
        <f>" id2: """&amp;MASTER!G326&amp;""""</f>
        <v xml:space="preserve"> id2: ""</v>
      </c>
      <c r="C325" t="str">
        <f>" name: """&amp;MASTER!B326&amp;""""</f>
        <v xml:space="preserve"> name: "Spoink"</v>
      </c>
      <c r="D325" t="str">
        <f t="shared" si="10"/>
        <v xml:space="preserve"> img: "spoink.gif"</v>
      </c>
      <c r="E325" t="str">
        <f>" type1: """&amp;MASTER!C326&amp;""""</f>
        <v xml:space="preserve"> type1: "Psychic"</v>
      </c>
      <c r="F325" t="str">
        <f>" type2: """&amp;MASTER!D326&amp;""""</f>
        <v xml:space="preserve"> type2: ""</v>
      </c>
      <c r="G325" t="str">
        <f>" location: """&amp;_xlfn.TEXTJOIN(" ",1,TRIM(MASTER!M326))&amp;""""</f>
        <v xml:space="preserve"> location: "Route 214 🐝"</v>
      </c>
      <c r="H325" t="e">
        <f>" evolve: """&amp;MASTER!#REF!&amp;""" }"</f>
        <v>#REF!</v>
      </c>
      <c r="I325" s="25" t="e">
        <f t="shared" si="11"/>
        <v>#REF!</v>
      </c>
    </row>
    <row r="326" spans="1:9" x14ac:dyDescent="0.2">
      <c r="A326" t="str">
        <f>"{ id: """&amp;MASTER!H327&amp;""""</f>
        <v>{ id: "326"</v>
      </c>
      <c r="B326" t="str">
        <f>" id2: """&amp;MASTER!G327&amp;""""</f>
        <v xml:space="preserve"> id2: ""</v>
      </c>
      <c r="C326" t="str">
        <f>" name: """&amp;MASTER!B327&amp;""""</f>
        <v xml:space="preserve"> name: "Grumpig"</v>
      </c>
      <c r="D326" t="str">
        <f t="shared" si="10"/>
        <v xml:space="preserve"> img: "grumpig.gif"</v>
      </c>
      <c r="E326" t="str">
        <f>" type1: """&amp;MASTER!C327&amp;""""</f>
        <v xml:space="preserve"> type1: "Psychic"</v>
      </c>
      <c r="F326" t="str">
        <f>" type2: """&amp;MASTER!D327&amp;""""</f>
        <v xml:space="preserve"> type2: ""</v>
      </c>
      <c r="G326" t="str">
        <f>" location: """&amp;_xlfn.TEXTJOIN(" ",1,TRIM(MASTER!M327))&amp;""""</f>
        <v xml:space="preserve"> location: "None"</v>
      </c>
      <c r="H326" t="e">
        <f>" evolve: """&amp;MASTER!#REF!&amp;""" }"</f>
        <v>#REF!</v>
      </c>
      <c r="I326" s="25" t="e">
        <f t="shared" si="11"/>
        <v>#REF!</v>
      </c>
    </row>
    <row r="327" spans="1:9" x14ac:dyDescent="0.2">
      <c r="A327" t="str">
        <f>"{ id: """&amp;MASTER!H328&amp;""""</f>
        <v>{ id: "327"</v>
      </c>
      <c r="B327" t="str">
        <f>" id2: """&amp;MASTER!G328&amp;""""</f>
        <v xml:space="preserve"> id2: ""</v>
      </c>
      <c r="C327" t="str">
        <f>" name: """&amp;MASTER!B328&amp;""""</f>
        <v xml:space="preserve"> name: "Spinda"</v>
      </c>
      <c r="D327" t="str">
        <f t="shared" si="10"/>
        <v xml:space="preserve"> img: "spinda.gif"</v>
      </c>
      <c r="E327" t="str">
        <f>" type1: """&amp;MASTER!C328&amp;""""</f>
        <v xml:space="preserve"> type1: "Normal"</v>
      </c>
      <c r="F327" t="str">
        <f>" type2: """&amp;MASTER!D328&amp;""""</f>
        <v xml:space="preserve"> type2: ""</v>
      </c>
      <c r="G327" t="str">
        <f>" location: """&amp;_xlfn.TEXTJOIN(" ",1,TRIM(MASTER!M328))&amp;""""</f>
        <v xml:space="preserve"> location: "Route 227 🐝"</v>
      </c>
      <c r="H327" t="e">
        <f>" evolve: """&amp;MASTER!#REF!&amp;""" }"</f>
        <v>#REF!</v>
      </c>
      <c r="I327" s="25" t="e">
        <f t="shared" si="11"/>
        <v>#REF!</v>
      </c>
    </row>
    <row r="328" spans="1:9" x14ac:dyDescent="0.2">
      <c r="A328" t="str">
        <f>"{ id: """&amp;MASTER!H329&amp;""""</f>
        <v>{ id: "328"</v>
      </c>
      <c r="B328" t="str">
        <f>" id2: """&amp;MASTER!G329&amp;""""</f>
        <v xml:space="preserve"> id2: ""</v>
      </c>
      <c r="C328" t="str">
        <f>" name: """&amp;MASTER!B329&amp;""""</f>
        <v xml:space="preserve"> name: "Trapinch"</v>
      </c>
      <c r="D328" t="str">
        <f t="shared" si="10"/>
        <v xml:space="preserve"> img: "trapinch.gif"</v>
      </c>
      <c r="E328" t="str">
        <f>" type1: """&amp;MASTER!C329&amp;""""</f>
        <v xml:space="preserve"> type1: "Ground"</v>
      </c>
      <c r="F328" t="str">
        <f>" type2: """&amp;MASTER!D329&amp;""""</f>
        <v xml:space="preserve"> type2: ""</v>
      </c>
      <c r="G328" t="str">
        <f>" location: """&amp;_xlfn.TEXTJOIN(" ",1,TRIM(MASTER!M329))&amp;""""</f>
        <v xml:space="preserve"> location: "Rocky Cave 👣"</v>
      </c>
      <c r="H328" t="e">
        <f>" evolve: """&amp;MASTER!#REF!&amp;""" }"</f>
        <v>#REF!</v>
      </c>
      <c r="I328" s="25" t="e">
        <f t="shared" si="11"/>
        <v>#REF!</v>
      </c>
    </row>
    <row r="329" spans="1:9" x14ac:dyDescent="0.2">
      <c r="A329" t="str">
        <f>"{ id: """&amp;MASTER!H330&amp;""""</f>
        <v>{ id: "329"</v>
      </c>
      <c r="B329" t="str">
        <f>" id2: """&amp;MASTER!G330&amp;""""</f>
        <v xml:space="preserve"> id2: ""</v>
      </c>
      <c r="C329" t="str">
        <f>" name: """&amp;MASTER!B330&amp;""""</f>
        <v xml:space="preserve"> name: "Vibrava"</v>
      </c>
      <c r="D329" t="str">
        <f t="shared" si="10"/>
        <v xml:space="preserve"> img: "vibrava.gif"</v>
      </c>
      <c r="E329" t="str">
        <f>" type1: """&amp;MASTER!C330&amp;""""</f>
        <v xml:space="preserve"> type1: "Ground"</v>
      </c>
      <c r="F329" t="str">
        <f>" type2: """&amp;MASTER!D330&amp;""""</f>
        <v xml:space="preserve"> type2: "Dragon"</v>
      </c>
      <c r="G329" t="str">
        <f>" location: """&amp;_xlfn.TEXTJOIN(" ",1,TRIM(MASTER!M330))&amp;""""</f>
        <v xml:space="preserve"> location: "Grassland Cave 👣"</v>
      </c>
      <c r="H329" t="e">
        <f>" evolve: """&amp;MASTER!#REF!&amp;""" }"</f>
        <v>#REF!</v>
      </c>
      <c r="I329" s="25" t="e">
        <f t="shared" si="11"/>
        <v>#REF!</v>
      </c>
    </row>
    <row r="330" spans="1:9" x14ac:dyDescent="0.2">
      <c r="A330" t="str">
        <f>"{ id: """&amp;MASTER!H331&amp;""""</f>
        <v>{ id: "330"</v>
      </c>
      <c r="B330" t="str">
        <f>" id2: """&amp;MASTER!G331&amp;""""</f>
        <v xml:space="preserve"> id2: ""</v>
      </c>
      <c r="C330" t="str">
        <f>" name: """&amp;MASTER!B331&amp;""""</f>
        <v xml:space="preserve"> name: "Flygon"</v>
      </c>
      <c r="D330" t="str">
        <f t="shared" si="10"/>
        <v xml:space="preserve"> img: "flygon.gif"</v>
      </c>
      <c r="E330" t="str">
        <f>" type1: """&amp;MASTER!C331&amp;""""</f>
        <v xml:space="preserve"> type1: "Ground"</v>
      </c>
      <c r="F330" t="str">
        <f>" type2: """&amp;MASTER!D331&amp;""""</f>
        <v xml:space="preserve"> type2: "Dragon"</v>
      </c>
      <c r="G330" t="str">
        <f>" location: """&amp;_xlfn.TEXTJOIN(" ",1,TRIM(MASTER!M331))&amp;""""</f>
        <v xml:space="preserve"> location: "None"</v>
      </c>
      <c r="H330" t="e">
        <f>" evolve: """&amp;MASTER!#REF!&amp;""" }"</f>
        <v>#REF!</v>
      </c>
      <c r="I330" s="25" t="e">
        <f t="shared" si="11"/>
        <v>#REF!</v>
      </c>
    </row>
    <row r="331" spans="1:9" x14ac:dyDescent="0.2">
      <c r="A331" t="str">
        <f>"{ id: """&amp;MASTER!H332&amp;""""</f>
        <v>{ id: "331"</v>
      </c>
      <c r="B331" t="str">
        <f>" id2: """&amp;MASTER!G332&amp;""""</f>
        <v xml:space="preserve"> id2: ""</v>
      </c>
      <c r="C331" t="str">
        <f>" name: """&amp;MASTER!B332&amp;""""</f>
        <v xml:space="preserve"> name: "Cacnea"</v>
      </c>
      <c r="D331" t="str">
        <f t="shared" si="10"/>
        <v xml:space="preserve"> img: "cacnea.gif"</v>
      </c>
      <c r="E331" t="str">
        <f>" type1: """&amp;MASTER!C332&amp;""""</f>
        <v xml:space="preserve"> type1: "Grass"</v>
      </c>
      <c r="F331" t="str">
        <f>" type2: """&amp;MASTER!D332&amp;""""</f>
        <v xml:space="preserve"> type2: ""</v>
      </c>
      <c r="G331" t="str">
        <f>" location: """&amp;_xlfn.TEXTJOIN(" ",1,TRIM(MASTER!M332))&amp;""""</f>
        <v xml:space="preserve"> location: "Grassland Cave 👣"</v>
      </c>
      <c r="H331" t="e">
        <f>" evolve: """&amp;MASTER!#REF!&amp;""" }"</f>
        <v>#REF!</v>
      </c>
      <c r="I331" s="25" t="e">
        <f t="shared" si="11"/>
        <v>#REF!</v>
      </c>
    </row>
    <row r="332" spans="1:9" x14ac:dyDescent="0.2">
      <c r="A332" t="str">
        <f>"{ id: """&amp;MASTER!H333&amp;""""</f>
        <v>{ id: "332"</v>
      </c>
      <c r="B332" t="str">
        <f>" id2: """&amp;MASTER!G333&amp;""""</f>
        <v xml:space="preserve"> id2: ""</v>
      </c>
      <c r="C332" t="str">
        <f>" name: """&amp;MASTER!B333&amp;""""</f>
        <v xml:space="preserve"> name: "Cacturne"</v>
      </c>
      <c r="D332" t="str">
        <f t="shared" si="10"/>
        <v xml:space="preserve"> img: "cacturne.gif"</v>
      </c>
      <c r="E332" t="str">
        <f>" type1: """&amp;MASTER!C333&amp;""""</f>
        <v xml:space="preserve"> type1: "Grass"</v>
      </c>
      <c r="F332" t="str">
        <f>" type2: """&amp;MASTER!D333&amp;""""</f>
        <v xml:space="preserve"> type2: "Dark"</v>
      </c>
      <c r="G332" t="str">
        <f>" location: """&amp;_xlfn.TEXTJOIN(" ",1,TRIM(MASTER!M333))&amp;""""</f>
        <v xml:space="preserve"> location: "Grassland Cave 👣"</v>
      </c>
      <c r="H332" t="e">
        <f>" evolve: """&amp;MASTER!#REF!&amp;""" }"</f>
        <v>#REF!</v>
      </c>
      <c r="I332" s="25" t="e">
        <f t="shared" si="11"/>
        <v>#REF!</v>
      </c>
    </row>
    <row r="333" spans="1:9" x14ac:dyDescent="0.2">
      <c r="A333" t="str">
        <f>"{ id: """&amp;MASTER!H334&amp;""""</f>
        <v>{ id: "333"</v>
      </c>
      <c r="B333" t="str">
        <f>" id2: """&amp;MASTER!G334&amp;""""</f>
        <v xml:space="preserve"> id2: ""</v>
      </c>
      <c r="C333" t="str">
        <f>" name: """&amp;MASTER!B334&amp;""""</f>
        <v xml:space="preserve"> name: "Swablu"</v>
      </c>
      <c r="D333" t="str">
        <f t="shared" si="10"/>
        <v xml:space="preserve"> img: "swablu.gif"</v>
      </c>
      <c r="E333" t="str">
        <f>" type1: """&amp;MASTER!C334&amp;""""</f>
        <v xml:space="preserve"> type1: "Normal"</v>
      </c>
      <c r="F333" t="str">
        <f>" type2: """&amp;MASTER!D334&amp;""""</f>
        <v xml:space="preserve"> type2: "Flying"</v>
      </c>
      <c r="G333" t="str">
        <f>" location: """&amp;_xlfn.TEXTJOIN(" ",1,TRIM(MASTER!M334))&amp;""""</f>
        <v xml:space="preserve"> location: "Fountainspring Cave 👣"</v>
      </c>
      <c r="H333" t="e">
        <f>" evolve: """&amp;MASTER!#REF!&amp;""" }"</f>
        <v>#REF!</v>
      </c>
      <c r="I333" s="25" t="e">
        <f t="shared" si="11"/>
        <v>#REF!</v>
      </c>
    </row>
    <row r="334" spans="1:9" x14ac:dyDescent="0.2">
      <c r="A334" t="str">
        <f>"{ id: """&amp;MASTER!H335&amp;""""</f>
        <v>{ id: "334"</v>
      </c>
      <c r="B334" t="str">
        <f>" id2: """&amp;MASTER!G335&amp;""""</f>
        <v xml:space="preserve"> id2: ""</v>
      </c>
      <c r="C334" t="str">
        <f>" name: """&amp;MASTER!B335&amp;""""</f>
        <v xml:space="preserve"> name: "Altaria"</v>
      </c>
      <c r="D334" t="str">
        <f t="shared" si="10"/>
        <v xml:space="preserve"> img: "altaria.gif"</v>
      </c>
      <c r="E334" t="str">
        <f>" type1: """&amp;MASTER!C335&amp;""""</f>
        <v xml:space="preserve"> type1: "Dragon"</v>
      </c>
      <c r="F334" t="str">
        <f>" type2: """&amp;MASTER!D335&amp;""""</f>
        <v xml:space="preserve"> type2: "Flying"</v>
      </c>
      <c r="G334" t="str">
        <f>" location: """&amp;_xlfn.TEXTJOIN(" ",1,TRIM(MASTER!M335))&amp;""""</f>
        <v xml:space="preserve"> location: "None"</v>
      </c>
      <c r="H334" t="e">
        <f>" evolve: """&amp;MASTER!#REF!&amp;""" }"</f>
        <v>#REF!</v>
      </c>
      <c r="I334" s="25" t="e">
        <f t="shared" si="11"/>
        <v>#REF!</v>
      </c>
    </row>
    <row r="335" spans="1:9" x14ac:dyDescent="0.2">
      <c r="A335" t="str">
        <f>"{ id: """&amp;MASTER!H336&amp;""""</f>
        <v>{ id: "335"</v>
      </c>
      <c r="B335" t="str">
        <f>" id2: """&amp;MASTER!G336&amp;""""</f>
        <v xml:space="preserve"> id2: ""</v>
      </c>
      <c r="C335" t="str">
        <f>" name: """&amp;MASTER!B336&amp;""""</f>
        <v xml:space="preserve"> name: "Zangoose"</v>
      </c>
      <c r="D335" t="str">
        <f t="shared" si="10"/>
        <v xml:space="preserve"> img: "zangoose.gif"</v>
      </c>
      <c r="E335" t="str">
        <f>" type1: """&amp;MASTER!C336&amp;""""</f>
        <v xml:space="preserve"> type1: "Normal"</v>
      </c>
      <c r="F335" t="str">
        <f>" type2: """&amp;MASTER!D336&amp;""""</f>
        <v xml:space="preserve"> type2: ""</v>
      </c>
      <c r="G335" t="str">
        <f>" location: """&amp;_xlfn.TEXTJOIN(" ",1,TRIM(MASTER!M336))&amp;""""</f>
        <v xml:space="preserve"> location: "Grassland Cave 💎only"</v>
      </c>
      <c r="H335" t="e">
        <f>" evolve: """&amp;MASTER!#REF!&amp;""" }"</f>
        <v>#REF!</v>
      </c>
      <c r="I335" s="25" t="e">
        <f t="shared" si="11"/>
        <v>#REF!</v>
      </c>
    </row>
    <row r="336" spans="1:9" x14ac:dyDescent="0.2">
      <c r="A336" t="str">
        <f>"{ id: """&amp;MASTER!H337&amp;""""</f>
        <v>{ id: "336"</v>
      </c>
      <c r="B336" t="str">
        <f>" id2: """&amp;MASTER!G337&amp;""""</f>
        <v xml:space="preserve"> id2: ""</v>
      </c>
      <c r="C336" t="str">
        <f>" name: """&amp;MASTER!B337&amp;""""</f>
        <v xml:space="preserve"> name: "Seviper"</v>
      </c>
      <c r="D336" t="str">
        <f t="shared" si="10"/>
        <v xml:space="preserve"> img: "seviper.gif"</v>
      </c>
      <c r="E336" t="str">
        <f>" type1: """&amp;MASTER!C337&amp;""""</f>
        <v xml:space="preserve"> type1: "Poison"</v>
      </c>
      <c r="F336" t="str">
        <f>" type2: """&amp;MASTER!D337&amp;""""</f>
        <v xml:space="preserve"> type2: ""</v>
      </c>
      <c r="G336" t="str">
        <f>" location: """&amp;_xlfn.TEXTJOIN(" ",1,TRIM(MASTER!M337))&amp;""""</f>
        <v xml:space="preserve"> location: "Grassland Cave ⚪only"</v>
      </c>
      <c r="H336" t="e">
        <f>" evolve: """&amp;MASTER!#REF!&amp;""" }"</f>
        <v>#REF!</v>
      </c>
      <c r="I336" s="25" t="e">
        <f t="shared" si="11"/>
        <v>#REF!</v>
      </c>
    </row>
    <row r="337" spans="1:9" x14ac:dyDescent="0.2">
      <c r="A337" t="str">
        <f>"{ id: """&amp;MASTER!H338&amp;""""</f>
        <v>{ id: "337"</v>
      </c>
      <c r="B337" t="str">
        <f>" id2: """&amp;MASTER!G338&amp;""""</f>
        <v xml:space="preserve"> id2: ""</v>
      </c>
      <c r="C337" t="str">
        <f>" name: """&amp;MASTER!B338&amp;""""</f>
        <v xml:space="preserve"> name: "Lunatone"</v>
      </c>
      <c r="D337" t="str">
        <f t="shared" si="10"/>
        <v xml:space="preserve"> img: "lunatone.gif"</v>
      </c>
      <c r="E337" t="str">
        <f>" type1: """&amp;MASTER!C338&amp;""""</f>
        <v xml:space="preserve"> type1: "Rock"</v>
      </c>
      <c r="F337" t="str">
        <f>" type2: """&amp;MASTER!D338&amp;""""</f>
        <v xml:space="preserve"> type2: "Psychic"</v>
      </c>
      <c r="G337" t="str">
        <f>" location: """&amp;_xlfn.TEXTJOIN(" ",1,TRIM(MASTER!M338))&amp;""""</f>
        <v xml:space="preserve"> location: "Dazzling Cave ⚪only"</v>
      </c>
      <c r="H337" t="e">
        <f>" evolve: """&amp;MASTER!#REF!&amp;""" }"</f>
        <v>#REF!</v>
      </c>
      <c r="I337" s="25" t="e">
        <f t="shared" si="11"/>
        <v>#REF!</v>
      </c>
    </row>
    <row r="338" spans="1:9" x14ac:dyDescent="0.2">
      <c r="A338" t="str">
        <f>"{ id: """&amp;MASTER!H339&amp;""""</f>
        <v>{ id: "338"</v>
      </c>
      <c r="B338" t="str">
        <f>" id2: """&amp;MASTER!G339&amp;""""</f>
        <v xml:space="preserve"> id2: ""</v>
      </c>
      <c r="C338" t="str">
        <f>" name: """&amp;MASTER!B339&amp;""""</f>
        <v xml:space="preserve"> name: "Solrock"</v>
      </c>
      <c r="D338" t="str">
        <f t="shared" si="10"/>
        <v xml:space="preserve"> img: "solrock.gif"</v>
      </c>
      <c r="E338" t="str">
        <f>" type1: """&amp;MASTER!C339&amp;""""</f>
        <v xml:space="preserve"> type1: "Rock"</v>
      </c>
      <c r="F338" t="str">
        <f>" type2: """&amp;MASTER!D339&amp;""""</f>
        <v xml:space="preserve"> type2: "Psychic"</v>
      </c>
      <c r="G338" t="str">
        <f>" location: """&amp;_xlfn.TEXTJOIN(" ",1,TRIM(MASTER!M339))&amp;""""</f>
        <v xml:space="preserve"> location: "Dazzling Cave 💎only"</v>
      </c>
      <c r="H338" t="e">
        <f>" evolve: """&amp;MASTER!#REF!&amp;""" }"</f>
        <v>#REF!</v>
      </c>
      <c r="I338" s="25" t="e">
        <f t="shared" si="11"/>
        <v>#REF!</v>
      </c>
    </row>
    <row r="339" spans="1:9" x14ac:dyDescent="0.2">
      <c r="A339" t="str">
        <f>"{ id: """&amp;MASTER!H340&amp;""""</f>
        <v>{ id: "339"</v>
      </c>
      <c r="B339" t="str">
        <f>" id2: """&amp;MASTER!G340&amp;""""</f>
        <v xml:space="preserve"> id2: "080"</v>
      </c>
      <c r="C339" t="str">
        <f>" name: """&amp;MASTER!B340&amp;""""</f>
        <v xml:space="preserve"> name: "Barboach"</v>
      </c>
      <c r="D339" t="str">
        <f t="shared" si="10"/>
        <v xml:space="preserve"> img: "barboach.gif"</v>
      </c>
      <c r="E339" t="str">
        <f>" type1: """&amp;MASTER!C340&amp;""""</f>
        <v xml:space="preserve"> type1: "Water"</v>
      </c>
      <c r="F339" t="str">
        <f>" type2: """&amp;MASTER!D340&amp;""""</f>
        <v xml:space="preserve"> type2: "Ground"</v>
      </c>
      <c r="G339" t="str">
        <f>" location: """&amp;_xlfn.TEXTJOIN(" ",1,TRIM(MASTER!M340))&amp;""""</f>
        <v xml:space="preserve"> location: "Route 208 🎣 Good"</v>
      </c>
      <c r="H339" t="e">
        <f>" evolve: """&amp;MASTER!#REF!&amp;""" }"</f>
        <v>#REF!</v>
      </c>
      <c r="I339" s="25" t="e">
        <f t="shared" si="11"/>
        <v>#REF!</v>
      </c>
    </row>
    <row r="340" spans="1:9" x14ac:dyDescent="0.2">
      <c r="A340" t="str">
        <f>"{ id: """&amp;MASTER!H341&amp;""""</f>
        <v>{ id: "340"</v>
      </c>
      <c r="B340" t="str">
        <f>" id2: """&amp;MASTER!G341&amp;""""</f>
        <v xml:space="preserve"> id2: "081"</v>
      </c>
      <c r="C340" t="str">
        <f>" name: """&amp;MASTER!B341&amp;""""</f>
        <v xml:space="preserve"> name: "Whiscash"</v>
      </c>
      <c r="D340" t="str">
        <f t="shared" si="10"/>
        <v xml:space="preserve"> img: "whiscash.gif"</v>
      </c>
      <c r="E340" t="str">
        <f>" type1: """&amp;MASTER!C341&amp;""""</f>
        <v xml:space="preserve"> type1: "Water"</v>
      </c>
      <c r="F340" t="str">
        <f>" type2: """&amp;MASTER!D341&amp;""""</f>
        <v xml:space="preserve"> type2: "Ground"</v>
      </c>
      <c r="G340" t="str">
        <f>" location: """&amp;_xlfn.TEXTJOIN(" ",1,TRIM(MASTER!M341))&amp;""""</f>
        <v xml:space="preserve"> location: "Route 208 🎣 Super"</v>
      </c>
      <c r="H340" t="e">
        <f>" evolve: """&amp;MASTER!#REF!&amp;""" }"</f>
        <v>#REF!</v>
      </c>
      <c r="I340" s="25" t="e">
        <f t="shared" si="11"/>
        <v>#REF!</v>
      </c>
    </row>
    <row r="341" spans="1:9" x14ac:dyDescent="0.2">
      <c r="A341" t="str">
        <f>"{ id: """&amp;MASTER!H342&amp;""""</f>
        <v>{ id: "341"</v>
      </c>
      <c r="B341" t="str">
        <f>" id2: """&amp;MASTER!G342&amp;""""</f>
        <v xml:space="preserve"> id2: ""</v>
      </c>
      <c r="C341" t="str">
        <f>" name: """&amp;MASTER!B342&amp;""""</f>
        <v xml:space="preserve"> name: "Corphish"</v>
      </c>
      <c r="D341" t="str">
        <f t="shared" si="10"/>
        <v xml:space="preserve"> img: "corphish.gif"</v>
      </c>
      <c r="E341" t="str">
        <f>" type1: """&amp;MASTER!C342&amp;""""</f>
        <v xml:space="preserve"> type1: "Water"</v>
      </c>
      <c r="F341" t="str">
        <f>" type2: """&amp;MASTER!D342&amp;""""</f>
        <v xml:space="preserve"> type2: ""</v>
      </c>
      <c r="G341" t="str">
        <f>" location: """&amp;_xlfn.TEXTJOIN(" ",1,TRIM(MASTER!M342))&amp;""""</f>
        <v xml:space="preserve"> location: "Spacious Cave 👣"</v>
      </c>
      <c r="H341" t="e">
        <f>" evolve: """&amp;MASTER!#REF!&amp;""" }"</f>
        <v>#REF!</v>
      </c>
      <c r="I341" s="25" t="e">
        <f t="shared" si="11"/>
        <v>#REF!</v>
      </c>
    </row>
    <row r="342" spans="1:9" x14ac:dyDescent="0.2">
      <c r="A342" t="str">
        <f>"{ id: """&amp;MASTER!H343&amp;""""</f>
        <v>{ id: "342"</v>
      </c>
      <c r="B342" t="str">
        <f>" id2: """&amp;MASTER!G343&amp;""""</f>
        <v xml:space="preserve"> id2: ""</v>
      </c>
      <c r="C342" t="str">
        <f>" name: """&amp;MASTER!B343&amp;""""</f>
        <v xml:space="preserve"> name: "Crawdaunt"</v>
      </c>
      <c r="D342" t="str">
        <f t="shared" si="10"/>
        <v xml:space="preserve"> img: "crawdaunt.gif"</v>
      </c>
      <c r="E342" t="str">
        <f>" type1: """&amp;MASTER!C343&amp;""""</f>
        <v xml:space="preserve"> type1: "Water"</v>
      </c>
      <c r="F342" t="str">
        <f>" type2: """&amp;MASTER!D343&amp;""""</f>
        <v xml:space="preserve"> type2: "Dark"</v>
      </c>
      <c r="G342" t="str">
        <f>" location: """&amp;_xlfn.TEXTJOIN(" ",1,TRIM(MASTER!M343))&amp;""""</f>
        <v xml:space="preserve"> location: "Spacious Cave 👣"</v>
      </c>
      <c r="H342" t="e">
        <f>" evolve: """&amp;MASTER!#REF!&amp;""" }"</f>
        <v>#REF!</v>
      </c>
      <c r="I342" s="25" t="e">
        <f t="shared" si="11"/>
        <v>#REF!</v>
      </c>
    </row>
    <row r="343" spans="1:9" x14ac:dyDescent="0.2">
      <c r="A343" t="str">
        <f>"{ id: """&amp;MASTER!H344&amp;""""</f>
        <v>{ id: "343"</v>
      </c>
      <c r="B343" t="str">
        <f>" id2: """&amp;MASTER!G344&amp;""""</f>
        <v xml:space="preserve"> id2: ""</v>
      </c>
      <c r="C343" t="str">
        <f>" name: """&amp;MASTER!B344&amp;""""</f>
        <v xml:space="preserve"> name: "Baltoy"</v>
      </c>
      <c r="D343" t="str">
        <f t="shared" si="10"/>
        <v xml:space="preserve"> img: "baltoy.gif"</v>
      </c>
      <c r="E343" t="str">
        <f>" type1: """&amp;MASTER!C344&amp;""""</f>
        <v xml:space="preserve"> type1: "Ground"</v>
      </c>
      <c r="F343" t="str">
        <f>" type2: """&amp;MASTER!D344&amp;""""</f>
        <v xml:space="preserve"> type2: "Psychic"</v>
      </c>
      <c r="G343" t="str">
        <f>" location: """&amp;_xlfn.TEXTJOIN(" ",1,TRIM(MASTER!M344))&amp;""""</f>
        <v xml:space="preserve"> location: "Rocky Cave 👣"</v>
      </c>
      <c r="H343" t="e">
        <f>" evolve: """&amp;MASTER!#REF!&amp;""" }"</f>
        <v>#REF!</v>
      </c>
      <c r="I343" s="25" t="e">
        <f t="shared" si="11"/>
        <v>#REF!</v>
      </c>
    </row>
    <row r="344" spans="1:9" x14ac:dyDescent="0.2">
      <c r="A344" t="str">
        <f>"{ id: """&amp;MASTER!H345&amp;""""</f>
        <v>{ id: "344"</v>
      </c>
      <c r="B344" t="str">
        <f>" id2: """&amp;MASTER!G345&amp;""""</f>
        <v xml:space="preserve"> id2: ""</v>
      </c>
      <c r="C344" t="str">
        <f>" name: """&amp;MASTER!B345&amp;""""</f>
        <v xml:space="preserve"> name: "Claydol"</v>
      </c>
      <c r="D344" t="str">
        <f t="shared" si="10"/>
        <v xml:space="preserve"> img: "claydol.gif"</v>
      </c>
      <c r="E344" t="str">
        <f>" type1: """&amp;MASTER!C345&amp;""""</f>
        <v xml:space="preserve"> type1: "Ground"</v>
      </c>
      <c r="F344" t="str">
        <f>" type2: """&amp;MASTER!D345&amp;""""</f>
        <v xml:space="preserve"> type2: "Psychic"</v>
      </c>
      <c r="G344" t="str">
        <f>" location: """&amp;_xlfn.TEXTJOIN(" ",1,TRIM(MASTER!M345))&amp;""""</f>
        <v xml:space="preserve"> location: "None"</v>
      </c>
      <c r="H344" t="e">
        <f>" evolve: """&amp;MASTER!#REF!&amp;""" }"</f>
        <v>#REF!</v>
      </c>
      <c r="I344" s="25" t="e">
        <f t="shared" si="11"/>
        <v>#REF!</v>
      </c>
    </row>
    <row r="345" spans="1:9" x14ac:dyDescent="0.2">
      <c r="A345" t="str">
        <f>"{ id: """&amp;MASTER!H346&amp;""""</f>
        <v>{ id: "345"</v>
      </c>
      <c r="B345" t="str">
        <f>" id2: """&amp;MASTER!G346&amp;""""</f>
        <v xml:space="preserve"> id2: ""</v>
      </c>
      <c r="C345" t="str">
        <f>" name: """&amp;MASTER!B346&amp;""""</f>
        <v xml:space="preserve"> name: "Lileep"</v>
      </c>
      <c r="D345" t="str">
        <f t="shared" si="10"/>
        <v xml:space="preserve"> img: "lileep.gif"</v>
      </c>
      <c r="E345" t="str">
        <f>" type1: """&amp;MASTER!C346&amp;""""</f>
        <v xml:space="preserve"> type1: "Rock"</v>
      </c>
      <c r="F345" t="str">
        <f>" type2: """&amp;MASTER!D346&amp;""""</f>
        <v xml:space="preserve"> type2: "Grass"</v>
      </c>
      <c r="G345" t="str">
        <f>" location: """&amp;_xlfn.TEXTJOIN(" ",1,TRIM(MASTER!M346))&amp;""""</f>
        <v xml:space="preserve"> location: "Oreburgh Museum (Root Fossil)"</v>
      </c>
      <c r="H345" t="e">
        <f>" evolve: """&amp;MASTER!#REF!&amp;""" }"</f>
        <v>#REF!</v>
      </c>
      <c r="I345" s="25" t="e">
        <f t="shared" si="11"/>
        <v>#REF!</v>
      </c>
    </row>
    <row r="346" spans="1:9" x14ac:dyDescent="0.2">
      <c r="A346" t="str">
        <f>"{ id: """&amp;MASTER!H347&amp;""""</f>
        <v>{ id: "346"</v>
      </c>
      <c r="B346" t="str">
        <f>" id2: """&amp;MASTER!G347&amp;""""</f>
        <v xml:space="preserve"> id2: ""</v>
      </c>
      <c r="C346" t="str">
        <f>" name: """&amp;MASTER!B347&amp;""""</f>
        <v xml:space="preserve"> name: "Cradily"</v>
      </c>
      <c r="D346" t="str">
        <f t="shared" si="10"/>
        <v xml:space="preserve"> img: "cradily.gif"</v>
      </c>
      <c r="E346" t="str">
        <f>" type1: """&amp;MASTER!C347&amp;""""</f>
        <v xml:space="preserve"> type1: "Rock"</v>
      </c>
      <c r="F346" t="str">
        <f>" type2: """&amp;MASTER!D347&amp;""""</f>
        <v xml:space="preserve"> type2: "Grass"</v>
      </c>
      <c r="G346" t="str">
        <f>" location: """&amp;_xlfn.TEXTJOIN(" ",1,TRIM(MASTER!M347))&amp;""""</f>
        <v xml:space="preserve"> location: "None"</v>
      </c>
      <c r="H346" t="e">
        <f>" evolve: """&amp;MASTER!#REF!&amp;""" }"</f>
        <v>#REF!</v>
      </c>
      <c r="I346" s="25" t="e">
        <f t="shared" si="11"/>
        <v>#REF!</v>
      </c>
    </row>
    <row r="347" spans="1:9" x14ac:dyDescent="0.2">
      <c r="A347" t="str">
        <f>"{ id: """&amp;MASTER!H348&amp;""""</f>
        <v>{ id: "347"</v>
      </c>
      <c r="B347" t="str">
        <f>" id2: """&amp;MASTER!G348&amp;""""</f>
        <v xml:space="preserve"> id2: ""</v>
      </c>
      <c r="C347" t="str">
        <f>" name: """&amp;MASTER!B348&amp;""""</f>
        <v xml:space="preserve"> name: "Anorith"</v>
      </c>
      <c r="D347" t="str">
        <f t="shared" si="10"/>
        <v xml:space="preserve"> img: "anorith.gif"</v>
      </c>
      <c r="E347" t="str">
        <f>" type1: """&amp;MASTER!C348&amp;""""</f>
        <v xml:space="preserve"> type1: "Rock"</v>
      </c>
      <c r="F347" t="str">
        <f>" type2: """&amp;MASTER!D348&amp;""""</f>
        <v xml:space="preserve"> type2: "Bug"</v>
      </c>
      <c r="G347" t="str">
        <f>" location: """&amp;_xlfn.TEXTJOIN(" ",1,TRIM(MASTER!M348))&amp;""""</f>
        <v xml:space="preserve"> location: "Oreburgh Museum (Claw Fossil)"</v>
      </c>
      <c r="H347" t="e">
        <f>" evolve: """&amp;MASTER!#REF!&amp;""" }"</f>
        <v>#REF!</v>
      </c>
      <c r="I347" s="25" t="e">
        <f t="shared" si="11"/>
        <v>#REF!</v>
      </c>
    </row>
    <row r="348" spans="1:9" x14ac:dyDescent="0.2">
      <c r="A348" t="str">
        <f>"{ id: """&amp;MASTER!H349&amp;""""</f>
        <v>{ id: "348"</v>
      </c>
      <c r="B348" t="str">
        <f>" id2: """&amp;MASTER!G349&amp;""""</f>
        <v xml:space="preserve"> id2: ""</v>
      </c>
      <c r="C348" t="str">
        <f>" name: """&amp;MASTER!B349&amp;""""</f>
        <v xml:space="preserve"> name: "Armaldo"</v>
      </c>
      <c r="D348" t="str">
        <f t="shared" si="10"/>
        <v xml:space="preserve"> img: "armaldo.gif"</v>
      </c>
      <c r="E348" t="str">
        <f>" type1: """&amp;MASTER!C349&amp;""""</f>
        <v xml:space="preserve"> type1: "Rock"</v>
      </c>
      <c r="F348" t="str">
        <f>" type2: """&amp;MASTER!D349&amp;""""</f>
        <v xml:space="preserve"> type2: "Bug"</v>
      </c>
      <c r="G348" t="str">
        <f>" location: """&amp;_xlfn.TEXTJOIN(" ",1,TRIM(MASTER!M349))&amp;""""</f>
        <v xml:space="preserve"> location: "None"</v>
      </c>
      <c r="H348" t="e">
        <f>" evolve: """&amp;MASTER!#REF!&amp;""" }"</f>
        <v>#REF!</v>
      </c>
      <c r="I348" s="25" t="e">
        <f t="shared" si="11"/>
        <v>#REF!</v>
      </c>
    </row>
    <row r="349" spans="1:9" x14ac:dyDescent="0.2">
      <c r="A349" t="str">
        <f>"{ id: """&amp;MASTER!H350&amp;""""</f>
        <v>{ id: "349"</v>
      </c>
      <c r="B349" t="str">
        <f>" id2: """&amp;MASTER!G350&amp;""""</f>
        <v xml:space="preserve"> id2: "138"</v>
      </c>
      <c r="C349" t="str">
        <f>" name: """&amp;MASTER!B350&amp;""""</f>
        <v xml:space="preserve"> name: "Feebas"</v>
      </c>
      <c r="D349" t="str">
        <f t="shared" si="10"/>
        <v xml:space="preserve"> img: "feebas.gif"</v>
      </c>
      <c r="E349" t="str">
        <f>" type1: """&amp;MASTER!C350&amp;""""</f>
        <v xml:space="preserve"> type1: "Water"</v>
      </c>
      <c r="F349" t="str">
        <f>" type2: """&amp;MASTER!D350&amp;""""</f>
        <v xml:space="preserve"> type2: ""</v>
      </c>
      <c r="G349" t="str">
        <f>" location: """&amp;_xlfn.TEXTJOIN(" ",1,TRIM(MASTER!M350))&amp;""""</f>
        <v xml:space="preserve"> location: "Mt. Coronet B1F 👣&lt;br&gt;(Look Up Instructions)"</v>
      </c>
      <c r="H349" t="e">
        <f>" evolve: """&amp;MASTER!#REF!&amp;""" }"</f>
        <v>#REF!</v>
      </c>
      <c r="I349" s="25" t="e">
        <f t="shared" si="11"/>
        <v>#REF!</v>
      </c>
    </row>
    <row r="350" spans="1:9" x14ac:dyDescent="0.2">
      <c r="A350" t="str">
        <f>"{ id: """&amp;MASTER!H351&amp;""""</f>
        <v>{ id: "350"</v>
      </c>
      <c r="B350" t="str">
        <f>" id2: """&amp;MASTER!G351&amp;""""</f>
        <v xml:space="preserve"> id2: "139"</v>
      </c>
      <c r="C350" t="str">
        <f>" name: """&amp;MASTER!B351&amp;""""</f>
        <v xml:space="preserve"> name: "Milotic"</v>
      </c>
      <c r="D350" t="str">
        <f t="shared" si="10"/>
        <v xml:space="preserve"> img: "milotic.gif"</v>
      </c>
      <c r="E350" t="str">
        <f>" type1: """&amp;MASTER!C351&amp;""""</f>
        <v xml:space="preserve"> type1: "Water"</v>
      </c>
      <c r="F350" t="str">
        <f>" type2: """&amp;MASTER!D351&amp;""""</f>
        <v xml:space="preserve"> type2: ""</v>
      </c>
      <c r="G350" t="str">
        <f>" location: """&amp;_xlfn.TEXTJOIN(" ",1,TRIM(MASTER!M351))&amp;""""</f>
        <v xml:space="preserve"> location: "None"</v>
      </c>
      <c r="H350" t="e">
        <f>" evolve: """&amp;MASTER!#REF!&amp;""" }"</f>
        <v>#REF!</v>
      </c>
      <c r="I350" s="25" t="e">
        <f t="shared" si="11"/>
        <v>#REF!</v>
      </c>
    </row>
    <row r="351" spans="1:9" x14ac:dyDescent="0.2">
      <c r="A351" t="str">
        <f>"{ id: """&amp;MASTER!H352&amp;""""</f>
        <v>{ id: "351"</v>
      </c>
      <c r="B351" t="str">
        <f>" id2: """&amp;MASTER!G352&amp;""""</f>
        <v xml:space="preserve"> id2: ""</v>
      </c>
      <c r="C351" t="str">
        <f>" name: """&amp;MASTER!B352&amp;""""</f>
        <v xml:space="preserve"> name: "Castform"</v>
      </c>
      <c r="D351" t="str">
        <f t="shared" si="10"/>
        <v xml:space="preserve"> img: "castform.gif"</v>
      </c>
      <c r="E351" t="str">
        <f>" type1: """&amp;MASTER!C352&amp;""""</f>
        <v xml:space="preserve"> type1: "Normal"</v>
      </c>
      <c r="F351" t="str">
        <f>" type2: """&amp;MASTER!D352&amp;""""</f>
        <v xml:space="preserve"> type2: ""</v>
      </c>
      <c r="G351" t="str">
        <f>" location: """&amp;_xlfn.TEXTJOIN(" ",1,TRIM(MASTER!M352))&amp;""""</f>
        <v xml:space="preserve"> location: "Trophy Garden (Special) 👣"</v>
      </c>
      <c r="H351" t="e">
        <f>" evolve: """&amp;MASTER!#REF!&amp;""" }"</f>
        <v>#REF!</v>
      </c>
      <c r="I351" s="25" t="e">
        <f t="shared" si="11"/>
        <v>#REF!</v>
      </c>
    </row>
    <row r="352" spans="1:9" x14ac:dyDescent="0.2">
      <c r="A352" t="str">
        <f>"{ id: """&amp;MASTER!H353&amp;""""</f>
        <v>{ id: "352"</v>
      </c>
      <c r="B352" t="str">
        <f>" id2: """&amp;MASTER!G353&amp;""""</f>
        <v xml:space="preserve"> id2: ""</v>
      </c>
      <c r="C352" t="str">
        <f>" name: """&amp;MASTER!B353&amp;""""</f>
        <v xml:space="preserve"> name: "Kecleon"</v>
      </c>
      <c r="D352" t="str">
        <f t="shared" si="10"/>
        <v xml:space="preserve"> img: "kecleon.gif"</v>
      </c>
      <c r="E352" t="str">
        <f>" type1: """&amp;MASTER!C353&amp;""""</f>
        <v xml:space="preserve"> type1: "Normal"</v>
      </c>
      <c r="F352" t="str">
        <f>" type2: """&amp;MASTER!D353&amp;""""</f>
        <v xml:space="preserve"> type2: ""</v>
      </c>
      <c r="G352" t="str">
        <f>" location: """&amp;_xlfn.TEXTJOIN(" ",1,TRIM(MASTER!M353))&amp;""""</f>
        <v xml:space="preserve"> location: "Grassland Cave 💎only"</v>
      </c>
      <c r="H352" t="e">
        <f>" evolve: """&amp;MASTER!#REF!&amp;""" }"</f>
        <v>#REF!</v>
      </c>
      <c r="I352" s="25" t="e">
        <f t="shared" si="11"/>
        <v>#REF!</v>
      </c>
    </row>
    <row r="353" spans="1:9" x14ac:dyDescent="0.2">
      <c r="A353" t="str">
        <f>"{ id: """&amp;MASTER!H354&amp;""""</f>
        <v>{ id: "353"</v>
      </c>
      <c r="B353" t="str">
        <f>" id2: """&amp;MASTER!G354&amp;""""</f>
        <v xml:space="preserve"> id2: ""</v>
      </c>
      <c r="C353" t="str">
        <f>" name: """&amp;MASTER!B354&amp;""""</f>
        <v xml:space="preserve"> name: "Shuppet"</v>
      </c>
      <c r="D353" t="str">
        <f t="shared" si="10"/>
        <v xml:space="preserve"> img: "shuppet.gif"</v>
      </c>
      <c r="E353" t="str">
        <f>" type1: """&amp;MASTER!C354&amp;""""</f>
        <v xml:space="preserve"> type1: "Ghost"</v>
      </c>
      <c r="F353" t="str">
        <f>" type2: """&amp;MASTER!D354&amp;""""</f>
        <v xml:space="preserve"> type2: ""</v>
      </c>
      <c r="G353" t="str">
        <f>" location: """&amp;_xlfn.TEXTJOIN(" ",1,TRIM(MASTER!M354))&amp;""""</f>
        <v xml:space="preserve"> location: "None"</v>
      </c>
      <c r="H353" t="e">
        <f>" evolve: """&amp;MASTER!#REF!&amp;""" }"</f>
        <v>#REF!</v>
      </c>
      <c r="I353" s="25" t="e">
        <f t="shared" si="11"/>
        <v>#REF!</v>
      </c>
    </row>
    <row r="354" spans="1:9" x14ac:dyDescent="0.2">
      <c r="A354" t="str">
        <f>"{ id: """&amp;MASTER!H355&amp;""""</f>
        <v>{ id: "354"</v>
      </c>
      <c r="B354" t="str">
        <f>" id2: """&amp;MASTER!G355&amp;""""</f>
        <v xml:space="preserve"> id2: ""</v>
      </c>
      <c r="C354" t="str">
        <f>" name: """&amp;MASTER!B355&amp;""""</f>
        <v xml:space="preserve"> name: "Banette"</v>
      </c>
      <c r="D354" t="str">
        <f t="shared" si="10"/>
        <v xml:space="preserve"> img: "banette.gif"</v>
      </c>
      <c r="E354" t="str">
        <f>" type1: """&amp;MASTER!C355&amp;""""</f>
        <v xml:space="preserve"> type1: "Ghost"</v>
      </c>
      <c r="F354" t="str">
        <f>" type2: """&amp;MASTER!D355&amp;""""</f>
        <v xml:space="preserve"> type2: ""</v>
      </c>
      <c r="G354" t="str">
        <f>" location: """&amp;_xlfn.TEXTJOIN(" ",1,TRIM(MASTER!M355))&amp;""""</f>
        <v xml:space="preserve"> location: "Dazzling Cave 👣"</v>
      </c>
      <c r="H354" t="e">
        <f>" evolve: """&amp;MASTER!#REF!&amp;""" }"</f>
        <v>#REF!</v>
      </c>
      <c r="I354" s="25" t="e">
        <f t="shared" si="11"/>
        <v>#REF!</v>
      </c>
    </row>
    <row r="355" spans="1:9" x14ac:dyDescent="0.2">
      <c r="A355" t="str">
        <f>"{ id: """&amp;MASTER!H356&amp;""""</f>
        <v>{ id: "355"</v>
      </c>
      <c r="B355" t="str">
        <f>" id2: """&amp;MASTER!G356&amp;""""</f>
        <v xml:space="preserve"> id2: ""</v>
      </c>
      <c r="C355" t="str">
        <f>" name: """&amp;MASTER!B356&amp;""""</f>
        <v xml:space="preserve"> name: "Duskull"</v>
      </c>
      <c r="D355" t="str">
        <f t="shared" si="10"/>
        <v xml:space="preserve"> img: "duskull.gif"</v>
      </c>
      <c r="E355" t="str">
        <f>" type1: """&amp;MASTER!C356&amp;""""</f>
        <v xml:space="preserve"> type1: "Ghost"</v>
      </c>
      <c r="F355" t="str">
        <f>" type2: """&amp;MASTER!D356&amp;""""</f>
        <v xml:space="preserve"> type2: ""</v>
      </c>
      <c r="G355" t="str">
        <f>" location: """&amp;_xlfn.TEXTJOIN(" ",1,TRIM(MASTER!M356))&amp;""""</f>
        <v xml:space="preserve"> location: "Dazzling Cave 👣"</v>
      </c>
      <c r="H355" t="e">
        <f>" evolve: """&amp;MASTER!#REF!&amp;""" }"</f>
        <v>#REF!</v>
      </c>
      <c r="I355" s="25" t="e">
        <f t="shared" si="11"/>
        <v>#REF!</v>
      </c>
    </row>
    <row r="356" spans="1:9" x14ac:dyDescent="0.2">
      <c r="A356" t="str">
        <f>"{ id: """&amp;MASTER!H357&amp;""""</f>
        <v>{ id: "356"</v>
      </c>
      <c r="B356" t="str">
        <f>" id2: """&amp;MASTER!G357&amp;""""</f>
        <v xml:space="preserve"> id2: ""</v>
      </c>
      <c r="C356" t="str">
        <f>" name: """&amp;MASTER!B357&amp;""""</f>
        <v xml:space="preserve"> name: "Dusclops"</v>
      </c>
      <c r="D356" t="str">
        <f t="shared" si="10"/>
        <v xml:space="preserve"> img: "dusclops.gif"</v>
      </c>
      <c r="E356" t="str">
        <f>" type1: """&amp;MASTER!C357&amp;""""</f>
        <v xml:space="preserve"> type1: "Ghost"</v>
      </c>
      <c r="F356" t="str">
        <f>" type2: """&amp;MASTER!D357&amp;""""</f>
        <v xml:space="preserve"> type2: ""</v>
      </c>
      <c r="G356" t="str">
        <f>" location: """&amp;_xlfn.TEXTJOIN(" ",1,TRIM(MASTER!M357))&amp;""""</f>
        <v xml:space="preserve"> location: "Dazzling Cave 👣"</v>
      </c>
      <c r="H356" t="e">
        <f>" evolve: """&amp;MASTER!#REF!&amp;""" }"</f>
        <v>#REF!</v>
      </c>
      <c r="I356" s="25" t="e">
        <f t="shared" si="11"/>
        <v>#REF!</v>
      </c>
    </row>
    <row r="357" spans="1:9" x14ac:dyDescent="0.2">
      <c r="A357" t="str">
        <f>"{ id: """&amp;MASTER!H358&amp;""""</f>
        <v>{ id: "357"</v>
      </c>
      <c r="B357" t="str">
        <f>" id2: """&amp;MASTER!G358&amp;""""</f>
        <v xml:space="preserve"> id2: ""</v>
      </c>
      <c r="C357" t="str">
        <f>" name: """&amp;MASTER!B358&amp;""""</f>
        <v xml:space="preserve"> name: "Tropius"</v>
      </c>
      <c r="D357" t="str">
        <f t="shared" si="10"/>
        <v xml:space="preserve"> img: "tropius.gif"</v>
      </c>
      <c r="E357" t="str">
        <f>" type1: """&amp;MASTER!C358&amp;""""</f>
        <v xml:space="preserve"> type1: "Grass"</v>
      </c>
      <c r="F357" t="str">
        <f>" type2: """&amp;MASTER!D358&amp;""""</f>
        <v xml:space="preserve"> type2: "Flying"</v>
      </c>
      <c r="G357" t="str">
        <f>" location: """&amp;_xlfn.TEXTJOIN(" ",1,TRIM(MASTER!M358))&amp;""""</f>
        <v xml:space="preserve"> location: "Grassland Cave 👣"</v>
      </c>
      <c r="H357" t="e">
        <f>" evolve: """&amp;MASTER!#REF!&amp;""" }"</f>
        <v>#REF!</v>
      </c>
      <c r="I357" s="25" t="e">
        <f t="shared" si="11"/>
        <v>#REF!</v>
      </c>
    </row>
    <row r="358" spans="1:9" x14ac:dyDescent="0.2">
      <c r="A358" t="str">
        <f>"{ id: """&amp;MASTER!H359&amp;""""</f>
        <v>{ id: "358"</v>
      </c>
      <c r="B358" t="str">
        <f>" id2: """&amp;MASTER!G359&amp;""""</f>
        <v xml:space="preserve"> id2: "083"</v>
      </c>
      <c r="C358" t="str">
        <f>" name: """&amp;MASTER!B359&amp;""""</f>
        <v xml:space="preserve"> name: "Chimecho"</v>
      </c>
      <c r="D358" t="str">
        <f t="shared" si="10"/>
        <v xml:space="preserve"> img: "chimecho.gif"</v>
      </c>
      <c r="E358" t="str">
        <f>" type1: """&amp;MASTER!C359&amp;""""</f>
        <v xml:space="preserve"> type1: "Psychic"</v>
      </c>
      <c r="F358" t="str">
        <f>" type2: """&amp;MASTER!D359&amp;""""</f>
        <v xml:space="preserve"> type2: ""</v>
      </c>
      <c r="G358" t="str">
        <f>" location: """&amp;_xlfn.TEXTJOIN(" ",1,TRIM(MASTER!M359))&amp;""""</f>
        <v xml:space="preserve"> location: "Sendoff Spring 👣 10%"</v>
      </c>
      <c r="H358" t="e">
        <f>" evolve: """&amp;MASTER!#REF!&amp;""" }"</f>
        <v>#REF!</v>
      </c>
      <c r="I358" s="25" t="e">
        <f t="shared" si="11"/>
        <v>#REF!</v>
      </c>
    </row>
    <row r="359" spans="1:9" x14ac:dyDescent="0.2">
      <c r="A359" t="str">
        <f>"{ id: """&amp;MASTER!H360&amp;""""</f>
        <v>{ id: "359"</v>
      </c>
      <c r="B359" t="str">
        <f>" id2: """&amp;MASTER!G360&amp;""""</f>
        <v xml:space="preserve"> id2: ""</v>
      </c>
      <c r="C359" t="str">
        <f>" name: """&amp;MASTER!B360&amp;""""</f>
        <v xml:space="preserve"> name: "Absol"</v>
      </c>
      <c r="D359" t="str">
        <f t="shared" si="10"/>
        <v xml:space="preserve"> img: "absol.gif"</v>
      </c>
      <c r="E359" t="str">
        <f>" type1: """&amp;MASTER!C360&amp;""""</f>
        <v xml:space="preserve"> type1: "Dark"</v>
      </c>
      <c r="F359" t="str">
        <f>" type2: """&amp;MASTER!D360&amp;""""</f>
        <v xml:space="preserve"> type2: ""</v>
      </c>
      <c r="G359" t="str">
        <f>" location: """&amp;_xlfn.TEXTJOIN(" ",1,TRIM(MASTER!M360))&amp;""""</f>
        <v xml:space="preserve"> location: "Grassland Cave 👣 20%"</v>
      </c>
      <c r="H359" t="e">
        <f>" evolve: """&amp;MASTER!#REF!&amp;""" }"</f>
        <v>#REF!</v>
      </c>
      <c r="I359" s="25" t="e">
        <f t="shared" si="11"/>
        <v>#REF!</v>
      </c>
    </row>
    <row r="360" spans="1:9" x14ac:dyDescent="0.2">
      <c r="A360" t="str">
        <f>"{ id: """&amp;MASTER!H361&amp;""""</f>
        <v>{ id: "360"</v>
      </c>
      <c r="B360" t="str">
        <f>" id2: """&amp;MASTER!G361&amp;""""</f>
        <v xml:space="preserve"> id2: ""</v>
      </c>
      <c r="C360" t="str">
        <f>" name: """&amp;MASTER!B361&amp;""""</f>
        <v xml:space="preserve"> name: "Wynaut"</v>
      </c>
      <c r="D360" t="str">
        <f t="shared" si="10"/>
        <v xml:space="preserve"> img: "wynaut.gif"</v>
      </c>
      <c r="E360" t="str">
        <f>" type1: """&amp;MASTER!C361&amp;""""</f>
        <v xml:space="preserve"> type1: "Psychic"</v>
      </c>
      <c r="F360" t="str">
        <f>" type2: """&amp;MASTER!D361&amp;""""</f>
        <v xml:space="preserve"> type2: ""</v>
      </c>
      <c r="G360" t="str">
        <f>" location: """&amp;_xlfn.TEXTJOIN(" ",1,TRIM(MASTER!M361))&amp;""""</f>
        <v xml:space="preserve"> location: "None"</v>
      </c>
      <c r="H360" t="e">
        <f>" evolve: """&amp;MASTER!#REF!&amp;""" }"</f>
        <v>#REF!</v>
      </c>
      <c r="I360" s="25" t="e">
        <f t="shared" si="11"/>
        <v>#REF!</v>
      </c>
    </row>
    <row r="361" spans="1:9" x14ac:dyDescent="0.2">
      <c r="A361" t="str">
        <f>"{ id: """&amp;MASTER!H362&amp;""""</f>
        <v>{ id: "361"</v>
      </c>
      <c r="B361" t="str">
        <f>" id2: """&amp;MASTER!G362&amp;""""</f>
        <v xml:space="preserve"> id2: ""</v>
      </c>
      <c r="C361" t="str">
        <f>" name: """&amp;MASTER!B362&amp;""""</f>
        <v xml:space="preserve"> name: "Snorunt"</v>
      </c>
      <c r="D361" t="str">
        <f t="shared" si="10"/>
        <v xml:space="preserve"> img: "snorunt.gif"</v>
      </c>
      <c r="E361" t="str">
        <f>" type1: """&amp;MASTER!C362&amp;""""</f>
        <v xml:space="preserve"> type1: "Ice"</v>
      </c>
      <c r="F361" t="str">
        <f>" type2: """&amp;MASTER!D362&amp;""""</f>
        <v xml:space="preserve"> type2: ""</v>
      </c>
      <c r="G361" t="str">
        <f>" location: """&amp;_xlfn.TEXTJOIN(" ",1,TRIM(MASTER!M362))&amp;""""</f>
        <v xml:space="preserve"> location: "Whiteout Cave 👣 14%"</v>
      </c>
      <c r="H361" t="e">
        <f>" evolve: """&amp;MASTER!#REF!&amp;""" }"</f>
        <v>#REF!</v>
      </c>
      <c r="I361" s="25" t="e">
        <f t="shared" si="11"/>
        <v>#REF!</v>
      </c>
    </row>
    <row r="362" spans="1:9" x14ac:dyDescent="0.2">
      <c r="A362" t="str">
        <f>"{ id: """&amp;MASTER!H363&amp;""""</f>
        <v>{ id: "362"</v>
      </c>
      <c r="B362" t="str">
        <f>" id2: """&amp;MASTER!G363&amp;""""</f>
        <v xml:space="preserve"> id2: ""</v>
      </c>
      <c r="C362" t="str">
        <f>" name: """&amp;MASTER!B363&amp;""""</f>
        <v xml:space="preserve"> name: "Glalie"</v>
      </c>
      <c r="D362" t="str">
        <f t="shared" si="10"/>
        <v xml:space="preserve"> img: "glalie.gif"</v>
      </c>
      <c r="E362" t="str">
        <f>" type1: """&amp;MASTER!C363&amp;""""</f>
        <v xml:space="preserve"> type1: "Ice"</v>
      </c>
      <c r="F362" t="str">
        <f>" type2: """&amp;MASTER!D363&amp;""""</f>
        <v xml:space="preserve"> type2: ""</v>
      </c>
      <c r="G362" t="str">
        <f>" location: """&amp;_xlfn.TEXTJOIN(" ",1,TRIM(MASTER!M363))&amp;""""</f>
        <v xml:space="preserve"> location: "Whiteout Cave 👣 14%"</v>
      </c>
      <c r="H362" t="e">
        <f>" evolve: """&amp;MASTER!#REF!&amp;""" }"</f>
        <v>#REF!</v>
      </c>
      <c r="I362" s="25" t="e">
        <f t="shared" si="11"/>
        <v>#REF!</v>
      </c>
    </row>
    <row r="363" spans="1:9" x14ac:dyDescent="0.2">
      <c r="A363" t="str">
        <f>"{ id: """&amp;MASTER!H364&amp;""""</f>
        <v>{ id: "363"</v>
      </c>
      <c r="B363" t="str">
        <f>" id2: """&amp;MASTER!G364&amp;""""</f>
        <v xml:space="preserve"> id2: ""</v>
      </c>
      <c r="C363" t="str">
        <f>" name: """&amp;MASTER!B364&amp;""""</f>
        <v xml:space="preserve"> name: "Spheal"</v>
      </c>
      <c r="D363" t="str">
        <f t="shared" si="10"/>
        <v xml:space="preserve"> img: "spheal.gif"</v>
      </c>
      <c r="E363" t="str">
        <f>" type1: """&amp;MASTER!C364&amp;""""</f>
        <v xml:space="preserve"> type1: "Ice"</v>
      </c>
      <c r="F363" t="str">
        <f>" type2: """&amp;MASTER!D364&amp;""""</f>
        <v xml:space="preserve"> type2: "Water"</v>
      </c>
      <c r="G363" t="str">
        <f>" location: """&amp;_xlfn.TEXTJOIN(" ",1,TRIM(MASTER!M364))&amp;""""</f>
        <v xml:space="preserve"> location: "Whiteout Cave ⚪only"</v>
      </c>
      <c r="H363" t="e">
        <f>" evolve: """&amp;MASTER!#REF!&amp;""" }"</f>
        <v>#REF!</v>
      </c>
      <c r="I363" s="25" t="e">
        <f t="shared" si="11"/>
        <v>#REF!</v>
      </c>
    </row>
    <row r="364" spans="1:9" x14ac:dyDescent="0.2">
      <c r="A364" t="str">
        <f>"{ id: """&amp;MASTER!H365&amp;""""</f>
        <v>{ id: "364"</v>
      </c>
      <c r="B364" t="str">
        <f>" id2: """&amp;MASTER!G365&amp;""""</f>
        <v xml:space="preserve"> id2: ""</v>
      </c>
      <c r="C364" t="str">
        <f>" name: """&amp;MASTER!B365&amp;""""</f>
        <v xml:space="preserve"> name: "Sealeo"</v>
      </c>
      <c r="D364" t="str">
        <f t="shared" si="10"/>
        <v xml:space="preserve"> img: "sealeo.gif"</v>
      </c>
      <c r="E364" t="str">
        <f>" type1: """&amp;MASTER!C365&amp;""""</f>
        <v xml:space="preserve"> type1: "Ice"</v>
      </c>
      <c r="F364" t="str">
        <f>" type2: """&amp;MASTER!D365&amp;""""</f>
        <v xml:space="preserve"> type2: "Water"</v>
      </c>
      <c r="G364" t="str">
        <f>" location: """&amp;_xlfn.TEXTJOIN(" ",1,TRIM(MASTER!M365))&amp;""""</f>
        <v xml:space="preserve"> location: "Whiteout Cave ⚪only"</v>
      </c>
      <c r="H364" t="e">
        <f>" evolve: """&amp;MASTER!#REF!&amp;""" }"</f>
        <v>#REF!</v>
      </c>
      <c r="I364" s="25" t="e">
        <f t="shared" si="11"/>
        <v>#REF!</v>
      </c>
    </row>
    <row r="365" spans="1:9" x14ac:dyDescent="0.2">
      <c r="A365" t="str">
        <f>"{ id: """&amp;MASTER!H366&amp;""""</f>
        <v>{ id: "365"</v>
      </c>
      <c r="B365" t="str">
        <f>" id2: """&amp;MASTER!G366&amp;""""</f>
        <v xml:space="preserve"> id2: ""</v>
      </c>
      <c r="C365" t="str">
        <f>" name: """&amp;MASTER!B366&amp;""""</f>
        <v xml:space="preserve"> name: "Walrein"</v>
      </c>
      <c r="D365" t="str">
        <f t="shared" si="10"/>
        <v xml:space="preserve"> img: "walrein.gif"</v>
      </c>
      <c r="E365" t="str">
        <f>" type1: """&amp;MASTER!C366&amp;""""</f>
        <v xml:space="preserve"> type1: "Ice"</v>
      </c>
      <c r="F365" t="str">
        <f>" type2: """&amp;MASTER!D366&amp;""""</f>
        <v xml:space="preserve"> type2: "Water"</v>
      </c>
      <c r="G365" t="str">
        <f>" location: """&amp;_xlfn.TEXTJOIN(" ",1,TRIM(MASTER!M366))&amp;""""</f>
        <v xml:space="preserve"> location: "Whiteout Cave 👣"</v>
      </c>
      <c r="H365" t="e">
        <f>" evolve: """&amp;MASTER!#REF!&amp;""" }"</f>
        <v>#REF!</v>
      </c>
      <c r="I365" s="25" t="e">
        <f t="shared" si="11"/>
        <v>#REF!</v>
      </c>
    </row>
    <row r="366" spans="1:9" x14ac:dyDescent="0.2">
      <c r="A366" t="str">
        <f>"{ id: """&amp;MASTER!H367&amp;""""</f>
        <v>{ id: "366"</v>
      </c>
      <c r="B366" t="str">
        <f>" id2: """&amp;MASTER!G367&amp;""""</f>
        <v xml:space="preserve"> id2: ""</v>
      </c>
      <c r="C366" t="str">
        <f>" name: """&amp;MASTER!B367&amp;""""</f>
        <v xml:space="preserve"> name: "Clamperl"</v>
      </c>
      <c r="D366" t="str">
        <f t="shared" si="10"/>
        <v xml:space="preserve"> img: "clamperl.gif"</v>
      </c>
      <c r="E366" t="str">
        <f>" type1: """&amp;MASTER!C367&amp;""""</f>
        <v xml:space="preserve"> type1: "Water"</v>
      </c>
      <c r="F366" t="str">
        <f>" type2: """&amp;MASTER!D367&amp;""""</f>
        <v xml:space="preserve"> type2: ""</v>
      </c>
      <c r="G366" t="str">
        <f>" location: """&amp;_xlfn.TEXTJOIN(" ",1,TRIM(MASTER!M367))&amp;""""</f>
        <v xml:space="preserve"> location: "Fountainspring Cave 👣"</v>
      </c>
      <c r="H366" t="e">
        <f>" evolve: """&amp;MASTER!#REF!&amp;""" }"</f>
        <v>#REF!</v>
      </c>
      <c r="I366" s="25" t="e">
        <f t="shared" si="11"/>
        <v>#REF!</v>
      </c>
    </row>
    <row r="367" spans="1:9" x14ac:dyDescent="0.2">
      <c r="A367" t="str">
        <f>"{ id: """&amp;MASTER!H368&amp;""""</f>
        <v>{ id: "367"</v>
      </c>
      <c r="B367" t="str">
        <f>" id2: """&amp;MASTER!G368&amp;""""</f>
        <v xml:space="preserve"> id2: ""</v>
      </c>
      <c r="C367" t="str">
        <f>" name: """&amp;MASTER!B368&amp;""""</f>
        <v xml:space="preserve"> name: "Huntail"</v>
      </c>
      <c r="D367" t="str">
        <f t="shared" si="10"/>
        <v xml:space="preserve"> img: "huntail.gif"</v>
      </c>
      <c r="E367" t="str">
        <f>" type1: """&amp;MASTER!C368&amp;""""</f>
        <v xml:space="preserve"> type1: "Water"</v>
      </c>
      <c r="F367" t="str">
        <f>" type2: """&amp;MASTER!D368&amp;""""</f>
        <v xml:space="preserve"> type2: ""</v>
      </c>
      <c r="G367" t="str">
        <f>" location: """&amp;_xlfn.TEXTJOIN(" ",1,TRIM(MASTER!M368))&amp;""""</f>
        <v xml:space="preserve"> location: "None"</v>
      </c>
      <c r="H367" t="e">
        <f>" evolve: """&amp;MASTER!#REF!&amp;""" }"</f>
        <v>#REF!</v>
      </c>
      <c r="I367" s="25" t="e">
        <f t="shared" si="11"/>
        <v>#REF!</v>
      </c>
    </row>
    <row r="368" spans="1:9" x14ac:dyDescent="0.2">
      <c r="A368" t="str">
        <f>"{ id: """&amp;MASTER!H369&amp;""""</f>
        <v>{ id: "368"</v>
      </c>
      <c r="B368" t="str">
        <f>" id2: """&amp;MASTER!G369&amp;""""</f>
        <v xml:space="preserve"> id2: ""</v>
      </c>
      <c r="C368" t="str">
        <f>" name: """&amp;MASTER!B369&amp;""""</f>
        <v xml:space="preserve"> name: "Gorebyss"</v>
      </c>
      <c r="D368" t="str">
        <f t="shared" si="10"/>
        <v xml:space="preserve"> img: "gorebyss.gif"</v>
      </c>
      <c r="E368" t="str">
        <f>" type1: """&amp;MASTER!C369&amp;""""</f>
        <v xml:space="preserve"> type1: "Water"</v>
      </c>
      <c r="F368" t="str">
        <f>" type2: """&amp;MASTER!D369&amp;""""</f>
        <v xml:space="preserve"> type2: ""</v>
      </c>
      <c r="G368" t="str">
        <f>" location: """&amp;_xlfn.TEXTJOIN(" ",1,TRIM(MASTER!M369))&amp;""""</f>
        <v xml:space="preserve"> location: "None"</v>
      </c>
      <c r="H368" t="e">
        <f>" evolve: """&amp;MASTER!#REF!&amp;""" }"</f>
        <v>#REF!</v>
      </c>
      <c r="I368" s="25" t="e">
        <f t="shared" si="11"/>
        <v>#REF!</v>
      </c>
    </row>
    <row r="369" spans="1:9" x14ac:dyDescent="0.2">
      <c r="A369" t="str">
        <f>"{ id: """&amp;MASTER!H370&amp;""""</f>
        <v>{ id: "369"</v>
      </c>
      <c r="B369" t="str">
        <f>" id2: """&amp;MASTER!G370&amp;""""</f>
        <v xml:space="preserve"> id2: ""</v>
      </c>
      <c r="C369" t="str">
        <f>" name: """&amp;MASTER!B370&amp;""""</f>
        <v xml:space="preserve"> name: "Relicanth"</v>
      </c>
      <c r="D369" t="str">
        <f t="shared" si="10"/>
        <v xml:space="preserve"> img: "relicanth.gif"</v>
      </c>
      <c r="E369" t="str">
        <f>" type1: """&amp;MASTER!C370&amp;""""</f>
        <v xml:space="preserve"> type1: "Water"</v>
      </c>
      <c r="F369" t="str">
        <f>" type2: """&amp;MASTER!D370&amp;""""</f>
        <v xml:space="preserve"> type2: "Rock"</v>
      </c>
      <c r="G369" t="str">
        <f>" location: """&amp;_xlfn.TEXTJOIN(" ",1,TRIM(MASTER!M370))&amp;""""</f>
        <v xml:space="preserve"> location: "Route 226 🎣 Super 15%"</v>
      </c>
      <c r="H369" t="e">
        <f>" evolve: """&amp;MASTER!#REF!&amp;""" }"</f>
        <v>#REF!</v>
      </c>
      <c r="I369" s="25" t="e">
        <f t="shared" si="11"/>
        <v>#REF!</v>
      </c>
    </row>
    <row r="370" spans="1:9" x14ac:dyDescent="0.2">
      <c r="A370" t="str">
        <f>"{ id: """&amp;MASTER!H371&amp;""""</f>
        <v>{ id: "370"</v>
      </c>
      <c r="B370" t="str">
        <f>" id2: """&amp;MASTER!G371&amp;""""</f>
        <v xml:space="preserve"> id2: ""</v>
      </c>
      <c r="C370" t="str">
        <f>" name: """&amp;MASTER!B371&amp;""""</f>
        <v xml:space="preserve"> name: "Luvdisc"</v>
      </c>
      <c r="D370" t="str">
        <f t="shared" si="10"/>
        <v xml:space="preserve"> img: "luvdisc.gif"</v>
      </c>
      <c r="E370" t="str">
        <f>" type1: """&amp;MASTER!C371&amp;""""</f>
        <v xml:space="preserve"> type1: "Water"</v>
      </c>
      <c r="F370" t="str">
        <f>" type2: """&amp;MASTER!D371&amp;""""</f>
        <v xml:space="preserve"> type2: ""</v>
      </c>
      <c r="G370" t="str">
        <f>" location: """&amp;_xlfn.TEXTJOIN(" ",1,TRIM(MASTER!M371))&amp;""""</f>
        <v xml:space="preserve"> location: "Route 224 🎣 Super 15%"</v>
      </c>
      <c r="H370" t="e">
        <f>" evolve: """&amp;MASTER!#REF!&amp;""" }"</f>
        <v>#REF!</v>
      </c>
      <c r="I370" s="25" t="e">
        <f t="shared" si="11"/>
        <v>#REF!</v>
      </c>
    </row>
    <row r="371" spans="1:9" x14ac:dyDescent="0.2">
      <c r="A371" t="str">
        <f>"{ id: """&amp;MASTER!H372&amp;""""</f>
        <v>{ id: "371"</v>
      </c>
      <c r="B371" t="str">
        <f>" id2: """&amp;MASTER!G372&amp;""""</f>
        <v xml:space="preserve"> id2: ""</v>
      </c>
      <c r="C371" t="str">
        <f>" name: """&amp;MASTER!B372&amp;""""</f>
        <v xml:space="preserve"> name: "Bagon"</v>
      </c>
      <c r="D371" t="str">
        <f t="shared" si="10"/>
        <v xml:space="preserve"> img: "bagon.gif"</v>
      </c>
      <c r="E371" t="str">
        <f>" type1: """&amp;MASTER!C372&amp;""""</f>
        <v xml:space="preserve"> type1: "Dragon"</v>
      </c>
      <c r="F371" t="str">
        <f>" type2: """&amp;MASTER!D372&amp;""""</f>
        <v xml:space="preserve"> type2: ""</v>
      </c>
      <c r="G371" t="str">
        <f>" location: """&amp;_xlfn.TEXTJOIN(" ",1,TRIM(MASTER!M372))&amp;""""</f>
        <v xml:space="preserve"> location: "Spacious Cave ⚪only"</v>
      </c>
      <c r="H371" t="e">
        <f>" evolve: """&amp;MASTER!#REF!&amp;""" }"</f>
        <v>#REF!</v>
      </c>
      <c r="I371" s="25" t="e">
        <f t="shared" si="11"/>
        <v>#REF!</v>
      </c>
    </row>
    <row r="372" spans="1:9" x14ac:dyDescent="0.2">
      <c r="A372" t="str">
        <f>"{ id: """&amp;MASTER!H373&amp;""""</f>
        <v>{ id: "372"</v>
      </c>
      <c r="B372" t="str">
        <f>" id2: """&amp;MASTER!G373&amp;""""</f>
        <v xml:space="preserve"> id2: ""</v>
      </c>
      <c r="C372" t="str">
        <f>" name: """&amp;MASTER!B373&amp;""""</f>
        <v xml:space="preserve"> name: "Shelgon"</v>
      </c>
      <c r="D372" t="str">
        <f t="shared" si="10"/>
        <v xml:space="preserve"> img: "shelgon.gif"</v>
      </c>
      <c r="E372" t="str">
        <f>" type1: """&amp;MASTER!C373&amp;""""</f>
        <v xml:space="preserve"> type1: "Dragon"</v>
      </c>
      <c r="F372" t="str">
        <f>" type2: """&amp;MASTER!D373&amp;""""</f>
        <v xml:space="preserve"> type2: ""</v>
      </c>
      <c r="G372" t="str">
        <f>" location: """&amp;_xlfn.TEXTJOIN(" ",1,TRIM(MASTER!M373))&amp;""""</f>
        <v xml:space="preserve"> location: "Spacious Cave ⚪only"</v>
      </c>
      <c r="H372" t="e">
        <f>" evolve: """&amp;MASTER!#REF!&amp;""" }"</f>
        <v>#REF!</v>
      </c>
      <c r="I372" s="25" t="e">
        <f t="shared" si="11"/>
        <v>#REF!</v>
      </c>
    </row>
    <row r="373" spans="1:9" x14ac:dyDescent="0.2">
      <c r="A373" t="str">
        <f>"{ id: """&amp;MASTER!H374&amp;""""</f>
        <v>{ id: "373"</v>
      </c>
      <c r="B373" t="str">
        <f>" id2: """&amp;MASTER!G374&amp;""""</f>
        <v xml:space="preserve"> id2: ""</v>
      </c>
      <c r="C373" t="str">
        <f>" name: """&amp;MASTER!B374&amp;""""</f>
        <v xml:space="preserve"> name: "Salamence"</v>
      </c>
      <c r="D373" t="str">
        <f t="shared" si="10"/>
        <v xml:space="preserve"> img: "salamence.gif"</v>
      </c>
      <c r="E373" t="str">
        <f>" type1: """&amp;MASTER!C374&amp;""""</f>
        <v xml:space="preserve"> type1: "Dragon"</v>
      </c>
      <c r="F373" t="str">
        <f>" type2: """&amp;MASTER!D374&amp;""""</f>
        <v xml:space="preserve"> type2: "Flying"</v>
      </c>
      <c r="G373" t="str">
        <f>" location: """&amp;_xlfn.TEXTJOIN(" ",1,TRIM(MASTER!M374))&amp;""""</f>
        <v xml:space="preserve"> location: "None"</v>
      </c>
      <c r="H373" t="e">
        <f>" evolve: """&amp;MASTER!#REF!&amp;""" }"</f>
        <v>#REF!</v>
      </c>
      <c r="I373" s="25" t="e">
        <f t="shared" si="11"/>
        <v>#REF!</v>
      </c>
    </row>
    <row r="374" spans="1:9" x14ac:dyDescent="0.2">
      <c r="A374" t="str">
        <f>"{ id: """&amp;MASTER!H375&amp;""""</f>
        <v>{ id: "374"</v>
      </c>
      <c r="B374" t="str">
        <f>" id2: """&amp;MASTER!G375&amp;""""</f>
        <v xml:space="preserve"> id2: ""</v>
      </c>
      <c r="C374" t="str">
        <f>" name: """&amp;MASTER!B375&amp;""""</f>
        <v xml:space="preserve"> name: "Beldum"</v>
      </c>
      <c r="D374" t="str">
        <f t="shared" si="10"/>
        <v xml:space="preserve"> img: "beldum.gif"</v>
      </c>
      <c r="E374" t="str">
        <f>" type1: """&amp;MASTER!C375&amp;""""</f>
        <v xml:space="preserve"> type1: "Steel"</v>
      </c>
      <c r="F374" t="str">
        <f>" type2: """&amp;MASTER!D375&amp;""""</f>
        <v xml:space="preserve"> type2: "Psychic"</v>
      </c>
      <c r="G374" t="str">
        <f>" location: """&amp;_xlfn.TEXTJOIN(" ",1,TRIM(MASTER!M375))&amp;""""</f>
        <v xml:space="preserve"> location: "Rocky Cave 👣"</v>
      </c>
      <c r="H374" t="e">
        <f>" evolve: """&amp;MASTER!#REF!&amp;""" }"</f>
        <v>#REF!</v>
      </c>
      <c r="I374" s="25" t="e">
        <f t="shared" si="11"/>
        <v>#REF!</v>
      </c>
    </row>
    <row r="375" spans="1:9" x14ac:dyDescent="0.2">
      <c r="A375" t="str">
        <f>"{ id: """&amp;MASTER!H376&amp;""""</f>
        <v>{ id: "375"</v>
      </c>
      <c r="B375" t="str">
        <f>" id2: """&amp;MASTER!G376&amp;""""</f>
        <v xml:space="preserve"> id2: ""</v>
      </c>
      <c r="C375" t="str">
        <f>" name: """&amp;MASTER!B376&amp;""""</f>
        <v xml:space="preserve"> name: "Metang"</v>
      </c>
      <c r="D375" t="str">
        <f t="shared" si="10"/>
        <v xml:space="preserve"> img: "metang.gif"</v>
      </c>
      <c r="E375" t="str">
        <f>" type1: """&amp;MASTER!C376&amp;""""</f>
        <v xml:space="preserve"> type1: "Steel"</v>
      </c>
      <c r="F375" t="str">
        <f>" type2: """&amp;MASTER!D376&amp;""""</f>
        <v xml:space="preserve"> type2: "Psychic"</v>
      </c>
      <c r="G375" t="str">
        <f>" location: """&amp;_xlfn.TEXTJOIN(" ",1,TRIM(MASTER!M376))&amp;""""</f>
        <v xml:space="preserve"> location: "None"</v>
      </c>
      <c r="H375" t="e">
        <f>" evolve: """&amp;MASTER!#REF!&amp;""" }"</f>
        <v>#REF!</v>
      </c>
      <c r="I375" s="25" t="e">
        <f t="shared" si="11"/>
        <v>#REF!</v>
      </c>
    </row>
    <row r="376" spans="1:9" x14ac:dyDescent="0.2">
      <c r="A376" t="str">
        <f>"{ id: """&amp;MASTER!H377&amp;""""</f>
        <v>{ id: "376"</v>
      </c>
      <c r="B376" t="str">
        <f>" id2: """&amp;MASTER!G377&amp;""""</f>
        <v xml:space="preserve"> id2: ""</v>
      </c>
      <c r="C376" t="str">
        <f>" name: """&amp;MASTER!B377&amp;""""</f>
        <v xml:space="preserve"> name: "Metagross"</v>
      </c>
      <c r="D376" t="str">
        <f t="shared" si="10"/>
        <v xml:space="preserve"> img: "metagross.gif"</v>
      </c>
      <c r="E376" t="str">
        <f>" type1: """&amp;MASTER!C377&amp;""""</f>
        <v xml:space="preserve"> type1: "Steel"</v>
      </c>
      <c r="F376" t="str">
        <f>" type2: """&amp;MASTER!D377&amp;""""</f>
        <v xml:space="preserve"> type2: "Psychic"</v>
      </c>
      <c r="G376" t="str">
        <f>" location: """&amp;_xlfn.TEXTJOIN(" ",1,TRIM(MASTER!M377))&amp;""""</f>
        <v xml:space="preserve"> location: "None"</v>
      </c>
      <c r="H376" t="e">
        <f>" evolve: """&amp;MASTER!#REF!&amp;""" }"</f>
        <v>#REF!</v>
      </c>
      <c r="I376" s="25" t="e">
        <f t="shared" si="11"/>
        <v>#REF!</v>
      </c>
    </row>
    <row r="377" spans="1:9" x14ac:dyDescent="0.2">
      <c r="A377" t="str">
        <f>"{ id: """&amp;MASTER!H378&amp;""""</f>
        <v>{ id: "377"</v>
      </c>
      <c r="B377" t="str">
        <f>" id2: """&amp;MASTER!G378&amp;""""</f>
        <v xml:space="preserve"> id2: ""</v>
      </c>
      <c r="C377" t="str">
        <f>" name: """&amp;MASTER!B378&amp;""""</f>
        <v xml:space="preserve"> name: "Regirock"</v>
      </c>
      <c r="D377" t="str">
        <f t="shared" si="10"/>
        <v xml:space="preserve"> img: "regirock.gif"</v>
      </c>
      <c r="E377" t="str">
        <f>" type1: """&amp;MASTER!C378&amp;""""</f>
        <v xml:space="preserve"> type1: "Rock"</v>
      </c>
      <c r="F377" t="str">
        <f>" type2: """&amp;MASTER!D378&amp;""""</f>
        <v xml:space="preserve"> type2: ""</v>
      </c>
      <c r="G377" t="str">
        <f>" location: """&amp;_xlfn.TEXTJOIN(" ",1,TRIM(MASTER!M378))&amp;""""</f>
        <v xml:space="preserve"> location: "Ramanas Park (Discovery) 📍"</v>
      </c>
      <c r="H377" t="e">
        <f>" evolve: """&amp;MASTER!#REF!&amp;""" }"</f>
        <v>#REF!</v>
      </c>
      <c r="I377" s="25" t="e">
        <f t="shared" si="11"/>
        <v>#REF!</v>
      </c>
    </row>
    <row r="378" spans="1:9" x14ac:dyDescent="0.2">
      <c r="A378" t="str">
        <f>"{ id: """&amp;MASTER!H379&amp;""""</f>
        <v>{ id: "378"</v>
      </c>
      <c r="B378" t="str">
        <f>" id2: """&amp;MASTER!G379&amp;""""</f>
        <v xml:space="preserve"> id2: ""</v>
      </c>
      <c r="C378" t="str">
        <f>" name: """&amp;MASTER!B379&amp;""""</f>
        <v xml:space="preserve"> name: "Regice"</v>
      </c>
      <c r="D378" t="str">
        <f t="shared" si="10"/>
        <v xml:space="preserve"> img: "regice.gif"</v>
      </c>
      <c r="E378" t="str">
        <f>" type1: """&amp;MASTER!C379&amp;""""</f>
        <v xml:space="preserve"> type1: "Ice"</v>
      </c>
      <c r="F378" t="str">
        <f>" type2: """&amp;MASTER!D379&amp;""""</f>
        <v xml:space="preserve"> type2: ""</v>
      </c>
      <c r="G378" t="str">
        <f>" location: """&amp;_xlfn.TEXTJOIN(" ",1,TRIM(MASTER!M379))&amp;""""</f>
        <v xml:space="preserve"> location: "Ramanas Park (Discovery) 📍"</v>
      </c>
      <c r="H378" t="e">
        <f>" evolve: """&amp;MASTER!#REF!&amp;""" }"</f>
        <v>#REF!</v>
      </c>
      <c r="I378" s="25" t="e">
        <f t="shared" si="11"/>
        <v>#REF!</v>
      </c>
    </row>
    <row r="379" spans="1:9" x14ac:dyDescent="0.2">
      <c r="A379" t="str">
        <f>"{ id: """&amp;MASTER!H380&amp;""""</f>
        <v>{ id: "379"</v>
      </c>
      <c r="B379" t="str">
        <f>" id2: """&amp;MASTER!G380&amp;""""</f>
        <v xml:space="preserve"> id2: ""</v>
      </c>
      <c r="C379" t="str">
        <f>" name: """&amp;MASTER!B380&amp;""""</f>
        <v xml:space="preserve"> name: "Registeel"</v>
      </c>
      <c r="D379" t="str">
        <f t="shared" si="10"/>
        <v xml:space="preserve"> img: "registeel.gif"</v>
      </c>
      <c r="E379" t="str">
        <f>" type1: """&amp;MASTER!C380&amp;""""</f>
        <v xml:space="preserve"> type1: "Steel"</v>
      </c>
      <c r="F379" t="str">
        <f>" type2: """&amp;MASTER!D380&amp;""""</f>
        <v xml:space="preserve"> type2: ""</v>
      </c>
      <c r="G379" t="str">
        <f>" location: """&amp;_xlfn.TEXTJOIN(" ",1,TRIM(MASTER!M380))&amp;""""</f>
        <v xml:space="preserve"> location: "Ramanas Park (Discovery) 📍"</v>
      </c>
      <c r="H379" t="e">
        <f>" evolve: """&amp;MASTER!#REF!&amp;""" }"</f>
        <v>#REF!</v>
      </c>
      <c r="I379" s="25" t="e">
        <f t="shared" si="11"/>
        <v>#REF!</v>
      </c>
    </row>
    <row r="380" spans="1:9" x14ac:dyDescent="0.2">
      <c r="A380" t="str">
        <f>"{ id: """&amp;MASTER!H381&amp;""""</f>
        <v>{ id: "380"</v>
      </c>
      <c r="B380" t="str">
        <f>" id2: """&amp;MASTER!G381&amp;""""</f>
        <v xml:space="preserve"> id2: ""</v>
      </c>
      <c r="C380" t="str">
        <f>" name: """&amp;MASTER!B381&amp;""""</f>
        <v xml:space="preserve"> name: "Latias"</v>
      </c>
      <c r="D380" t="str">
        <f t="shared" si="10"/>
        <v xml:space="preserve"> img: "latias.gif"</v>
      </c>
      <c r="E380" t="str">
        <f>" type1: """&amp;MASTER!C381&amp;""""</f>
        <v xml:space="preserve"> type1: "Dragon"</v>
      </c>
      <c r="F380" t="str">
        <f>" type2: """&amp;MASTER!D381&amp;""""</f>
        <v xml:space="preserve"> type2: "Psychic"</v>
      </c>
      <c r="G380" t="str">
        <f>" location: """&amp;_xlfn.TEXTJOIN(" ",1,TRIM(MASTER!M381))&amp;""""</f>
        <v xml:space="preserve"> location: "Ramanas Park (Soul) 📍"</v>
      </c>
      <c r="H380" t="e">
        <f>" evolve: """&amp;MASTER!#REF!&amp;""" }"</f>
        <v>#REF!</v>
      </c>
      <c r="I380" s="25" t="e">
        <f t="shared" si="11"/>
        <v>#REF!</v>
      </c>
    </row>
    <row r="381" spans="1:9" x14ac:dyDescent="0.2">
      <c r="A381" t="str">
        <f>"{ id: """&amp;MASTER!H382&amp;""""</f>
        <v>{ id: "381"</v>
      </c>
      <c r="B381" t="str">
        <f>" id2: """&amp;MASTER!G382&amp;""""</f>
        <v xml:space="preserve"> id2: ""</v>
      </c>
      <c r="C381" t="str">
        <f>" name: """&amp;MASTER!B382&amp;""""</f>
        <v xml:space="preserve"> name: "Latios"</v>
      </c>
      <c r="D381" t="str">
        <f t="shared" si="10"/>
        <v xml:space="preserve"> img: "latios.gif"</v>
      </c>
      <c r="E381" t="str">
        <f>" type1: """&amp;MASTER!C382&amp;""""</f>
        <v xml:space="preserve"> type1: "Dragon"</v>
      </c>
      <c r="F381" t="str">
        <f>" type2: """&amp;MASTER!D382&amp;""""</f>
        <v xml:space="preserve"> type2: "Psychic"</v>
      </c>
      <c r="G381" t="str">
        <f>" location: """&amp;_xlfn.TEXTJOIN(" ",1,TRIM(MASTER!M382))&amp;""""</f>
        <v xml:space="preserve"> location: "Ramanas Park (Soul) 📍"</v>
      </c>
      <c r="H381" t="e">
        <f>" evolve: """&amp;MASTER!#REF!&amp;""" }"</f>
        <v>#REF!</v>
      </c>
      <c r="I381" s="25" t="e">
        <f t="shared" si="11"/>
        <v>#REF!</v>
      </c>
    </row>
    <row r="382" spans="1:9" x14ac:dyDescent="0.2">
      <c r="A382" t="str">
        <f>"{ id: """&amp;MASTER!H383&amp;""""</f>
        <v>{ id: "382"</v>
      </c>
      <c r="B382" t="str">
        <f>" id2: """&amp;MASTER!G383&amp;""""</f>
        <v xml:space="preserve"> id2: ""</v>
      </c>
      <c r="C382" t="str">
        <f>" name: """&amp;MASTER!B383&amp;""""</f>
        <v xml:space="preserve"> name: "Kyogre"</v>
      </c>
      <c r="D382" t="str">
        <f t="shared" si="10"/>
        <v xml:space="preserve"> img: "kyogre.gif"</v>
      </c>
      <c r="E382" t="str">
        <f>" type1: """&amp;MASTER!C383&amp;""""</f>
        <v xml:space="preserve"> type1: "Water"</v>
      </c>
      <c r="F382" t="str">
        <f>" type2: """&amp;MASTER!D383&amp;""""</f>
        <v xml:space="preserve"> type2: ""</v>
      </c>
      <c r="G382" t="str">
        <f>" location: """&amp;_xlfn.TEXTJOIN(" ",1,TRIM(MASTER!M383))&amp;""""</f>
        <v xml:space="preserve"> location: "Ramanas Park (Oceanic) 📍"</v>
      </c>
      <c r="H382" t="e">
        <f>" evolve: """&amp;MASTER!#REF!&amp;""" }"</f>
        <v>#REF!</v>
      </c>
      <c r="I382" s="25" t="e">
        <f t="shared" si="11"/>
        <v>#REF!</v>
      </c>
    </row>
    <row r="383" spans="1:9" x14ac:dyDescent="0.2">
      <c r="A383" t="str">
        <f>"{ id: """&amp;MASTER!H384&amp;""""</f>
        <v>{ id: "383"</v>
      </c>
      <c r="B383" t="str">
        <f>" id2: """&amp;MASTER!G384&amp;""""</f>
        <v xml:space="preserve"> id2: ""</v>
      </c>
      <c r="C383" t="str">
        <f>" name: """&amp;MASTER!B384&amp;""""</f>
        <v xml:space="preserve"> name: "Groudon"</v>
      </c>
      <c r="D383" t="str">
        <f t="shared" si="10"/>
        <v xml:space="preserve"> img: "groudon.gif"</v>
      </c>
      <c r="E383" t="str">
        <f>" type1: """&amp;MASTER!C384&amp;""""</f>
        <v xml:space="preserve"> type1: "Ground"</v>
      </c>
      <c r="F383" t="str">
        <f>" type2: """&amp;MASTER!D384&amp;""""</f>
        <v xml:space="preserve"> type2: ""</v>
      </c>
      <c r="G383" t="str">
        <f>" location: """&amp;_xlfn.TEXTJOIN(" ",1,TRIM(MASTER!M384))&amp;""""</f>
        <v xml:space="preserve"> location: "Ramanas Park (Tectonic) 📍"</v>
      </c>
      <c r="H383" t="e">
        <f>" evolve: """&amp;MASTER!#REF!&amp;""" }"</f>
        <v>#REF!</v>
      </c>
      <c r="I383" s="25" t="e">
        <f t="shared" si="11"/>
        <v>#REF!</v>
      </c>
    </row>
    <row r="384" spans="1:9" x14ac:dyDescent="0.2">
      <c r="A384" t="str">
        <f>"{ id: """&amp;MASTER!H385&amp;""""</f>
        <v>{ id: "384"</v>
      </c>
      <c r="B384" t="str">
        <f>" id2: """&amp;MASTER!G385&amp;""""</f>
        <v xml:space="preserve"> id2: ""</v>
      </c>
      <c r="C384" t="str">
        <f>" name: """&amp;MASTER!B385&amp;""""</f>
        <v xml:space="preserve"> name: "Rayquaza"</v>
      </c>
      <c r="D384" t="str">
        <f t="shared" si="10"/>
        <v xml:space="preserve"> img: "rayquaza.gif"</v>
      </c>
      <c r="E384" t="str">
        <f>" type1: """&amp;MASTER!C385&amp;""""</f>
        <v xml:space="preserve"> type1: "Dragon"</v>
      </c>
      <c r="F384" t="str">
        <f>" type2: """&amp;MASTER!D385&amp;""""</f>
        <v xml:space="preserve"> type2: "Flying"</v>
      </c>
      <c r="G384" t="str">
        <f>" location: """&amp;_xlfn.TEXTJOIN(" ",1,TRIM(MASTER!M385))&amp;""""</f>
        <v xml:space="preserve"> location: "Ramanas Park (Stratospheric) 📍"</v>
      </c>
      <c r="H384" t="e">
        <f>" evolve: """&amp;MASTER!#REF!&amp;""" }"</f>
        <v>#REF!</v>
      </c>
      <c r="I384" s="25" t="e">
        <f t="shared" si="11"/>
        <v>#REF!</v>
      </c>
    </row>
    <row r="385" spans="1:9" x14ac:dyDescent="0.2">
      <c r="A385" t="str">
        <f>"{ id: """&amp;MASTER!H386&amp;""""</f>
        <v>{ id: "385"</v>
      </c>
      <c r="B385" t="str">
        <f>" id2: """&amp;MASTER!G386&amp;""""</f>
        <v xml:space="preserve"> id2: ""</v>
      </c>
      <c r="C385" t="str">
        <f>" name: """&amp;MASTER!B386&amp;""""</f>
        <v xml:space="preserve"> name: "Jirachi"</v>
      </c>
      <c r="D385" t="str">
        <f t="shared" si="10"/>
        <v xml:space="preserve"> img: "jirachi.gif"</v>
      </c>
      <c r="E385" t="str">
        <f>" type1: """&amp;MASTER!C386&amp;""""</f>
        <v xml:space="preserve"> type1: "Steel"</v>
      </c>
      <c r="F385" t="str">
        <f>" type2: """&amp;MASTER!D386&amp;""""</f>
        <v xml:space="preserve"> type2: "Psychic"</v>
      </c>
      <c r="G385" t="str">
        <f>" location: """&amp;_xlfn.TEXTJOIN(" ",1,TRIM(MASTER!M386))&amp;""""</f>
        <v xml:space="preserve"> location: "Floaroma Town 🎁"</v>
      </c>
      <c r="H385" t="e">
        <f>" evolve: """&amp;MASTER!#REF!&amp;""" }"</f>
        <v>#REF!</v>
      </c>
      <c r="I385" s="25" t="e">
        <f t="shared" si="11"/>
        <v>#REF!</v>
      </c>
    </row>
    <row r="386" spans="1:9" x14ac:dyDescent="0.2">
      <c r="A386" t="str">
        <f>"{ id: """&amp;MASTER!H387&amp;""""</f>
        <v>{ id: "386"</v>
      </c>
      <c r="B386" t="str">
        <f>" id2: """&amp;MASTER!G387&amp;""""</f>
        <v xml:space="preserve"> id2: ""</v>
      </c>
      <c r="C386" t="str">
        <f>" name: """&amp;MASTER!B387&amp;""""</f>
        <v xml:space="preserve"> name: "Deoxys"</v>
      </c>
      <c r="D386" t="str">
        <f t="shared" ref="D386:D400" si="12">" img: """&amp;LOWER(MID(C386,9,LEN(C386)-9))&amp;".gif"""</f>
        <v xml:space="preserve"> img: "deoxys.gif"</v>
      </c>
      <c r="E386" t="str">
        <f>" type1: """&amp;MASTER!C387&amp;""""</f>
        <v xml:space="preserve"> type1: "Psychic"</v>
      </c>
      <c r="F386" t="str">
        <f>" type2: """&amp;MASTER!D387&amp;""""</f>
        <v xml:space="preserve"> type2: ""</v>
      </c>
      <c r="G386" t="str">
        <f>" location: """&amp;_xlfn.TEXTJOIN(" ",1,TRIM(MASTER!M387))&amp;""""</f>
        <v xml:space="preserve"> location: "Trade Only"</v>
      </c>
      <c r="H386" t="e">
        <f>" evolve: """&amp;MASTER!#REF!&amp;""" }"</f>
        <v>#REF!</v>
      </c>
      <c r="I386" s="25" t="e">
        <f t="shared" ref="I386:I400" si="13">_xlfn.TEXTJOIN(",",1,A386:H386)&amp;","</f>
        <v>#REF!</v>
      </c>
    </row>
    <row r="387" spans="1:9" x14ac:dyDescent="0.2">
      <c r="A387" t="str">
        <f>"{ id: """&amp;MASTER!H388&amp;""""</f>
        <v>{ id: "387"</v>
      </c>
      <c r="B387" t="str">
        <f>" id2: """&amp;MASTER!G388&amp;""""</f>
        <v xml:space="preserve"> id2: "001"</v>
      </c>
      <c r="C387" t="str">
        <f>" name: """&amp;MASTER!B388&amp;""""</f>
        <v xml:space="preserve"> name: "Turtwig"</v>
      </c>
      <c r="D387" t="str">
        <f t="shared" si="12"/>
        <v xml:space="preserve"> img: "turtwig.gif"</v>
      </c>
      <c r="E387" t="str">
        <f>" type1: """&amp;MASTER!C388&amp;""""</f>
        <v xml:space="preserve"> type1: "Grass"</v>
      </c>
      <c r="F387" t="str">
        <f>" type2: """&amp;MASTER!D388&amp;""""</f>
        <v xml:space="preserve"> type2: ""</v>
      </c>
      <c r="G387" t="str">
        <f>" location: """&amp;_xlfn.TEXTJOIN(" ",1,TRIM(MASTER!M388))&amp;""""</f>
        <v xml:space="preserve"> location: "Starter 👣"</v>
      </c>
      <c r="H387" t="e">
        <f>" evolve: """&amp;MASTER!#REF!&amp;""" }"</f>
        <v>#REF!</v>
      </c>
      <c r="I387" s="25" t="e">
        <f t="shared" si="13"/>
        <v>#REF!</v>
      </c>
    </row>
    <row r="388" spans="1:9" x14ac:dyDescent="0.2">
      <c r="A388" t="str">
        <f>"{ id: """&amp;MASTER!H389&amp;""""</f>
        <v>{ id: "388"</v>
      </c>
      <c r="B388" t="str">
        <f>" id2: """&amp;MASTER!G389&amp;""""</f>
        <v xml:space="preserve"> id2: "002"</v>
      </c>
      <c r="C388" t="str">
        <f>" name: """&amp;MASTER!B389&amp;""""</f>
        <v xml:space="preserve"> name: "Grotle"</v>
      </c>
      <c r="D388" t="str">
        <f t="shared" si="12"/>
        <v xml:space="preserve"> img: "grotle.gif"</v>
      </c>
      <c r="E388" t="str">
        <f>" type1: """&amp;MASTER!C389&amp;""""</f>
        <v xml:space="preserve"> type1: "Grass"</v>
      </c>
      <c r="F388" t="str">
        <f>" type2: """&amp;MASTER!D389&amp;""""</f>
        <v xml:space="preserve"> type2: ""</v>
      </c>
      <c r="G388" t="str">
        <f>" location: """&amp;_xlfn.TEXTJOIN(" ",1,TRIM(MASTER!M389))&amp;""""</f>
        <v xml:space="preserve"> location: "None"</v>
      </c>
      <c r="H388" t="e">
        <f>" evolve: """&amp;MASTER!#REF!&amp;""" }"</f>
        <v>#REF!</v>
      </c>
      <c r="I388" s="25" t="e">
        <f t="shared" si="13"/>
        <v>#REF!</v>
      </c>
    </row>
    <row r="389" spans="1:9" x14ac:dyDescent="0.2">
      <c r="A389" t="str">
        <f>"{ id: """&amp;MASTER!H390&amp;""""</f>
        <v>{ id: "389"</v>
      </c>
      <c r="B389" t="str">
        <f>" id2: """&amp;MASTER!G390&amp;""""</f>
        <v xml:space="preserve"> id2: "003"</v>
      </c>
      <c r="C389" t="str">
        <f>" name: """&amp;MASTER!B390&amp;""""</f>
        <v xml:space="preserve"> name: "Torterra"</v>
      </c>
      <c r="D389" t="str">
        <f t="shared" si="12"/>
        <v xml:space="preserve"> img: "torterra.gif"</v>
      </c>
      <c r="E389" t="str">
        <f>" type1: """&amp;MASTER!C390&amp;""""</f>
        <v xml:space="preserve"> type1: "Grass"</v>
      </c>
      <c r="F389" t="str">
        <f>" type2: """&amp;MASTER!D390&amp;""""</f>
        <v xml:space="preserve"> type2: "Ground"</v>
      </c>
      <c r="G389" t="str">
        <f>" location: """&amp;_xlfn.TEXTJOIN(" ",1,TRIM(MASTER!M390))&amp;""""</f>
        <v xml:space="preserve"> location: "None"</v>
      </c>
      <c r="H389" t="e">
        <f>" evolve: """&amp;MASTER!#REF!&amp;""" }"</f>
        <v>#REF!</v>
      </c>
      <c r="I389" s="25" t="e">
        <f t="shared" si="13"/>
        <v>#REF!</v>
      </c>
    </row>
    <row r="390" spans="1:9" x14ac:dyDescent="0.2">
      <c r="A390" t="str">
        <f>"{ id: """&amp;MASTER!H391&amp;""""</f>
        <v>{ id: "390"</v>
      </c>
      <c r="B390" t="str">
        <f>" id2: """&amp;MASTER!G391&amp;""""</f>
        <v xml:space="preserve"> id2: "004"</v>
      </c>
      <c r="C390" t="str">
        <f>" name: """&amp;MASTER!B391&amp;""""</f>
        <v xml:space="preserve"> name: "Chimchar"</v>
      </c>
      <c r="D390" t="str">
        <f t="shared" si="12"/>
        <v xml:space="preserve"> img: "chimchar.gif"</v>
      </c>
      <c r="E390" t="str">
        <f>" type1: """&amp;MASTER!C391&amp;""""</f>
        <v xml:space="preserve"> type1: "Fire"</v>
      </c>
      <c r="F390" t="str">
        <f>" type2: """&amp;MASTER!D391&amp;""""</f>
        <v xml:space="preserve"> type2: ""</v>
      </c>
      <c r="G390" t="str">
        <f>" location: """&amp;_xlfn.TEXTJOIN(" ",1,TRIM(MASTER!M391))&amp;""""</f>
        <v xml:space="preserve"> location: "Starter 👣"</v>
      </c>
      <c r="H390" t="e">
        <f>" evolve: """&amp;MASTER!#REF!&amp;""" }"</f>
        <v>#REF!</v>
      </c>
      <c r="I390" s="25" t="e">
        <f t="shared" si="13"/>
        <v>#REF!</v>
      </c>
    </row>
    <row r="391" spans="1:9" x14ac:dyDescent="0.2">
      <c r="A391" t="str">
        <f>"{ id: """&amp;MASTER!H392&amp;""""</f>
        <v>{ id: "391"</v>
      </c>
      <c r="B391" t="str">
        <f>" id2: """&amp;MASTER!G392&amp;""""</f>
        <v xml:space="preserve"> id2: "005"</v>
      </c>
      <c r="C391" t="str">
        <f>" name: """&amp;MASTER!B392&amp;""""</f>
        <v xml:space="preserve"> name: "Monferno"</v>
      </c>
      <c r="D391" t="str">
        <f t="shared" si="12"/>
        <v xml:space="preserve"> img: "monferno.gif"</v>
      </c>
      <c r="E391" t="str">
        <f>" type1: """&amp;MASTER!C392&amp;""""</f>
        <v xml:space="preserve"> type1: "Fire"</v>
      </c>
      <c r="F391" t="str">
        <f>" type2: """&amp;MASTER!D392&amp;""""</f>
        <v xml:space="preserve"> type2: "Fighting"</v>
      </c>
      <c r="G391" t="str">
        <f>" location: """&amp;_xlfn.TEXTJOIN(" ",1,TRIM(MASTER!M392))&amp;""""</f>
        <v xml:space="preserve"> location: "None"</v>
      </c>
      <c r="H391" t="e">
        <f>" evolve: """&amp;MASTER!#REF!&amp;""" }"</f>
        <v>#REF!</v>
      </c>
      <c r="I391" s="25" t="e">
        <f t="shared" si="13"/>
        <v>#REF!</v>
      </c>
    </row>
    <row r="392" spans="1:9" x14ac:dyDescent="0.2">
      <c r="A392" t="str">
        <f>"{ id: """&amp;MASTER!H393&amp;""""</f>
        <v>{ id: "392"</v>
      </c>
      <c r="B392" t="str">
        <f>" id2: """&amp;MASTER!G393&amp;""""</f>
        <v xml:space="preserve"> id2: "006"</v>
      </c>
      <c r="C392" t="str">
        <f>" name: """&amp;MASTER!B393&amp;""""</f>
        <v xml:space="preserve"> name: "Infernape"</v>
      </c>
      <c r="D392" t="str">
        <f t="shared" si="12"/>
        <v xml:space="preserve"> img: "infernape.gif"</v>
      </c>
      <c r="E392" t="str">
        <f>" type1: """&amp;MASTER!C393&amp;""""</f>
        <v xml:space="preserve"> type1: "Fire"</v>
      </c>
      <c r="F392" t="str">
        <f>" type2: """&amp;MASTER!D393&amp;""""</f>
        <v xml:space="preserve"> type2: "Fighting"</v>
      </c>
      <c r="G392" t="str">
        <f>" location: """&amp;_xlfn.TEXTJOIN(" ",1,TRIM(MASTER!M393))&amp;""""</f>
        <v xml:space="preserve"> location: "None"</v>
      </c>
      <c r="H392" t="e">
        <f>" evolve: """&amp;MASTER!#REF!&amp;""" }"</f>
        <v>#REF!</v>
      </c>
      <c r="I392" s="25" t="e">
        <f t="shared" si="13"/>
        <v>#REF!</v>
      </c>
    </row>
    <row r="393" spans="1:9" x14ac:dyDescent="0.2">
      <c r="A393" t="str">
        <f>"{ id: """&amp;MASTER!H394&amp;""""</f>
        <v>{ id: "393"</v>
      </c>
      <c r="B393" t="str">
        <f>" id2: """&amp;MASTER!G394&amp;""""</f>
        <v xml:space="preserve"> id2: "007"</v>
      </c>
      <c r="C393" t="str">
        <f>" name: """&amp;MASTER!B394&amp;""""</f>
        <v xml:space="preserve"> name: "Piplup"</v>
      </c>
      <c r="D393" t="str">
        <f t="shared" si="12"/>
        <v xml:space="preserve"> img: "piplup.gif"</v>
      </c>
      <c r="E393" t="str">
        <f>" type1: """&amp;MASTER!C394&amp;""""</f>
        <v xml:space="preserve"> type1: "Water"</v>
      </c>
      <c r="F393" t="str">
        <f>" type2: """&amp;MASTER!D394&amp;""""</f>
        <v xml:space="preserve"> type2: ""</v>
      </c>
      <c r="G393" t="str">
        <f>" location: """&amp;_xlfn.TEXTJOIN(" ",1,TRIM(MASTER!M394))&amp;""""</f>
        <v xml:space="preserve"> location: "Starter 👣"</v>
      </c>
      <c r="H393" t="e">
        <f>" evolve: """&amp;MASTER!#REF!&amp;""" }"</f>
        <v>#REF!</v>
      </c>
      <c r="I393" s="25" t="e">
        <f t="shared" si="13"/>
        <v>#REF!</v>
      </c>
    </row>
    <row r="394" spans="1:9" x14ac:dyDescent="0.2">
      <c r="A394" t="str">
        <f>"{ id: """&amp;MASTER!H395&amp;""""</f>
        <v>{ id: "394"</v>
      </c>
      <c r="B394" t="str">
        <f>" id2: """&amp;MASTER!G395&amp;""""</f>
        <v xml:space="preserve"> id2: "008"</v>
      </c>
      <c r="C394" t="str">
        <f>" name: """&amp;MASTER!B395&amp;""""</f>
        <v xml:space="preserve"> name: "Prinplup"</v>
      </c>
      <c r="D394" t="str">
        <f t="shared" si="12"/>
        <v xml:space="preserve"> img: "prinplup.gif"</v>
      </c>
      <c r="E394" t="str">
        <f>" type1: """&amp;MASTER!C395&amp;""""</f>
        <v xml:space="preserve"> type1: "Water"</v>
      </c>
      <c r="F394" t="str">
        <f>" type2: """&amp;MASTER!D395&amp;""""</f>
        <v xml:space="preserve"> type2: ""</v>
      </c>
      <c r="G394" t="str">
        <f>" location: """&amp;_xlfn.TEXTJOIN(" ",1,TRIM(MASTER!M395))&amp;""""</f>
        <v xml:space="preserve"> location: "None"</v>
      </c>
      <c r="H394" t="e">
        <f>" evolve: """&amp;MASTER!#REF!&amp;""" }"</f>
        <v>#REF!</v>
      </c>
      <c r="I394" s="25" t="e">
        <f t="shared" si="13"/>
        <v>#REF!</v>
      </c>
    </row>
    <row r="395" spans="1:9" x14ac:dyDescent="0.2">
      <c r="A395" t="str">
        <f>"{ id: """&amp;MASTER!H396&amp;""""</f>
        <v>{ id: "395"</v>
      </c>
      <c r="B395" t="str">
        <f>" id2: """&amp;MASTER!G396&amp;""""</f>
        <v xml:space="preserve"> id2: "009"</v>
      </c>
      <c r="C395" t="str">
        <f>" name: """&amp;MASTER!B396&amp;""""</f>
        <v xml:space="preserve"> name: "Empoleon"</v>
      </c>
      <c r="D395" t="str">
        <f t="shared" si="12"/>
        <v xml:space="preserve"> img: "empoleon.gif"</v>
      </c>
      <c r="E395" t="str">
        <f>" type1: """&amp;MASTER!C396&amp;""""</f>
        <v xml:space="preserve"> type1: "Water"</v>
      </c>
      <c r="F395" t="str">
        <f>" type2: """&amp;MASTER!D396&amp;""""</f>
        <v xml:space="preserve"> type2: "Steel"</v>
      </c>
      <c r="G395" t="str">
        <f>" location: """&amp;_xlfn.TEXTJOIN(" ",1,TRIM(MASTER!M396))&amp;""""</f>
        <v xml:space="preserve"> location: "None"</v>
      </c>
      <c r="H395" t="e">
        <f>" evolve: """&amp;MASTER!#REF!&amp;""" }"</f>
        <v>#REF!</v>
      </c>
      <c r="I395" s="25" t="e">
        <f t="shared" si="13"/>
        <v>#REF!</v>
      </c>
    </row>
    <row r="396" spans="1:9" x14ac:dyDescent="0.2">
      <c r="A396" t="str">
        <f>"{ id: """&amp;MASTER!H397&amp;""""</f>
        <v>{ id: "396"</v>
      </c>
      <c r="B396" t="str">
        <f>" id2: """&amp;MASTER!G397&amp;""""</f>
        <v xml:space="preserve"> id2: "010"</v>
      </c>
      <c r="C396" t="str">
        <f>" name: """&amp;MASTER!B397&amp;""""</f>
        <v xml:space="preserve"> name: "Starly"</v>
      </c>
      <c r="D396" t="str">
        <f t="shared" si="12"/>
        <v xml:space="preserve"> img: "starly.gif"</v>
      </c>
      <c r="E396" t="str">
        <f>" type1: """&amp;MASTER!C397&amp;""""</f>
        <v xml:space="preserve"> type1: "Normal"</v>
      </c>
      <c r="F396" t="str">
        <f>" type2: """&amp;MASTER!D397&amp;""""</f>
        <v xml:space="preserve"> type2: "Flying"</v>
      </c>
      <c r="G396" t="str">
        <f>" location: """&amp;_xlfn.TEXTJOIN(" ",1,TRIM(MASTER!M397))&amp;""""</f>
        <v xml:space="preserve"> location: "Route 202 👣 🏙️"</v>
      </c>
      <c r="H396" t="e">
        <f>" evolve: """&amp;MASTER!#REF!&amp;""" }"</f>
        <v>#REF!</v>
      </c>
      <c r="I396" s="25" t="e">
        <f t="shared" si="13"/>
        <v>#REF!</v>
      </c>
    </row>
    <row r="397" spans="1:9" x14ac:dyDescent="0.2">
      <c r="A397" t="str">
        <f>"{ id: """&amp;MASTER!H398&amp;""""</f>
        <v>{ id: "397"</v>
      </c>
      <c r="B397" t="str">
        <f>" id2: """&amp;MASTER!G398&amp;""""</f>
        <v xml:space="preserve"> id2: "011"</v>
      </c>
      <c r="C397" t="str">
        <f>" name: """&amp;MASTER!B398&amp;""""</f>
        <v xml:space="preserve"> name: "Staravia"</v>
      </c>
      <c r="D397" t="str">
        <f t="shared" si="12"/>
        <v xml:space="preserve"> img: "staravia.gif"</v>
      </c>
      <c r="E397" t="str">
        <f>" type1: """&amp;MASTER!C398&amp;""""</f>
        <v xml:space="preserve"> type1: "Normal"</v>
      </c>
      <c r="F397" t="str">
        <f>" type2: """&amp;MASTER!D398&amp;""""</f>
        <v xml:space="preserve"> type2: "Flying"</v>
      </c>
      <c r="G397" t="str">
        <f>" location: """&amp;_xlfn.TEXTJOIN(" ",1,TRIM(MASTER!M398))&amp;""""</f>
        <v xml:space="preserve"> location: "Trophy Garden 👣 🏙️"</v>
      </c>
      <c r="H397" t="e">
        <f>" evolve: """&amp;MASTER!#REF!&amp;""" }"</f>
        <v>#REF!</v>
      </c>
      <c r="I397" s="25" t="e">
        <f t="shared" si="13"/>
        <v>#REF!</v>
      </c>
    </row>
    <row r="398" spans="1:9" x14ac:dyDescent="0.2">
      <c r="A398" t="str">
        <f>"{ id: """&amp;MASTER!H399&amp;""""</f>
        <v>{ id: "398"</v>
      </c>
      <c r="B398" t="str">
        <f>" id2: """&amp;MASTER!G399&amp;""""</f>
        <v xml:space="preserve"> id2: "012"</v>
      </c>
      <c r="C398" t="str">
        <f>" name: """&amp;MASTER!B399&amp;""""</f>
        <v xml:space="preserve"> name: "Staraptor"</v>
      </c>
      <c r="D398" t="str">
        <f t="shared" si="12"/>
        <v xml:space="preserve"> img: "staraptor.gif"</v>
      </c>
      <c r="E398" t="str">
        <f>" type1: """&amp;MASTER!C399&amp;""""</f>
        <v xml:space="preserve"> type1: "Normal"</v>
      </c>
      <c r="F398" t="str">
        <f>" type2: """&amp;MASTER!D399&amp;""""</f>
        <v xml:space="preserve"> type2: "Flying"</v>
      </c>
      <c r="G398" t="str">
        <f>" location: """&amp;_xlfn.TEXTJOIN(" ",1,TRIM(MASTER!M399))&amp;""""</f>
        <v xml:space="preserve"> location: "None"</v>
      </c>
      <c r="H398" t="e">
        <f>" evolve: """&amp;MASTER!#REF!&amp;""" }"</f>
        <v>#REF!</v>
      </c>
      <c r="I398" s="25" t="e">
        <f t="shared" si="13"/>
        <v>#REF!</v>
      </c>
    </row>
    <row r="399" spans="1:9" x14ac:dyDescent="0.2">
      <c r="A399" t="str">
        <f>"{ id: """&amp;MASTER!H400&amp;""""</f>
        <v>{ id: "399"</v>
      </c>
      <c r="B399" t="str">
        <f>" id2: """&amp;MASTER!G400&amp;""""</f>
        <v xml:space="preserve"> id2: "013"</v>
      </c>
      <c r="C399" t="str">
        <f>" name: """&amp;MASTER!B400&amp;""""</f>
        <v xml:space="preserve"> name: "Bidoof"</v>
      </c>
      <c r="D399" t="str">
        <f t="shared" si="12"/>
        <v xml:space="preserve"> img: "bidoof.gif"</v>
      </c>
      <c r="E399" t="str">
        <f>" type1: """&amp;MASTER!C400&amp;""""</f>
        <v xml:space="preserve"> type1: "Normal"</v>
      </c>
      <c r="F399" t="str">
        <f>" type2: """&amp;MASTER!D400&amp;""""</f>
        <v xml:space="preserve"> type2: ""</v>
      </c>
      <c r="G399" t="str">
        <f>" location: """&amp;_xlfn.TEXTJOIN(" ",1,TRIM(MASTER!M400))&amp;""""</f>
        <v xml:space="preserve"> location: "Spacious Cave 👣"</v>
      </c>
      <c r="H399" t="e">
        <f>" evolve: """&amp;MASTER!#REF!&amp;""" }"</f>
        <v>#REF!</v>
      </c>
      <c r="I399" s="25" t="e">
        <f t="shared" si="13"/>
        <v>#REF!</v>
      </c>
    </row>
    <row r="400" spans="1:9" x14ac:dyDescent="0.2">
      <c r="A400" t="str">
        <f>"{ id: """&amp;MASTER!H401&amp;""""</f>
        <v>{ id: "400"</v>
      </c>
      <c r="B400" t="str">
        <f>" id2: """&amp;MASTER!G401&amp;""""</f>
        <v xml:space="preserve"> id2: "014"</v>
      </c>
      <c r="C400" t="str">
        <f>" name: """&amp;MASTER!B401&amp;""""</f>
        <v xml:space="preserve"> name: "Bibarel"</v>
      </c>
      <c r="D400" t="str">
        <f t="shared" si="12"/>
        <v xml:space="preserve"> img: "bibarel.gif"</v>
      </c>
      <c r="E400" t="str">
        <f>" type1: """&amp;MASTER!C401&amp;""""</f>
        <v xml:space="preserve"> type1: "Normal"</v>
      </c>
      <c r="F400" t="str">
        <f>" type2: """&amp;MASTER!D401&amp;""""</f>
        <v xml:space="preserve"> type2: "Water"</v>
      </c>
      <c r="G400" t="str">
        <f>" location: """&amp;_xlfn.TEXTJOIN(" ",1,TRIM(MASTER!M401))&amp;""""</f>
        <v xml:space="preserve"> location: "Sendoff Spring 👣"</v>
      </c>
      <c r="H400" t="e">
        <f>" evolve: """&amp;MASTER!#REF!&amp;""" }"</f>
        <v>#REF!</v>
      </c>
      <c r="I400" s="25" t="e">
        <f t="shared" si="13"/>
        <v>#REF!</v>
      </c>
    </row>
    <row r="401" spans="1:9" x14ac:dyDescent="0.2">
      <c r="A401" t="str">
        <f>"{ id: """&amp;MASTER!H402&amp;""""</f>
        <v>{ id: "401"</v>
      </c>
      <c r="B401" t="str">
        <f>" id2: """&amp;MASTER!G402&amp;""""</f>
        <v xml:space="preserve"> id2: "015"</v>
      </c>
      <c r="C401" t="str">
        <f>" name: """&amp;MASTER!B402&amp;""""</f>
        <v xml:space="preserve"> name: "Kricketot"</v>
      </c>
      <c r="D401" t="str">
        <f t="shared" ref="D401:D464" si="14">" img: """&amp;LOWER(MID(C401,9,LEN(C401)-9))&amp;".gif"""</f>
        <v xml:space="preserve"> img: "kricketot.gif"</v>
      </c>
      <c r="E401" t="str">
        <f>" type1: """&amp;MASTER!C402&amp;""""</f>
        <v xml:space="preserve"> type1: "Bug"</v>
      </c>
      <c r="F401" t="str">
        <f>" type2: """&amp;MASTER!D402&amp;""""</f>
        <v xml:space="preserve"> type2: ""</v>
      </c>
      <c r="G401" t="str">
        <f>" location: """&amp;_xlfn.TEXTJOIN(" ",1,TRIM(MASTER!M402))&amp;""""</f>
        <v xml:space="preserve"> location: "Riverbank Cave 👣"</v>
      </c>
      <c r="H401" t="e">
        <f>" evolve: """&amp;MASTER!#REF!&amp;""" }"</f>
        <v>#REF!</v>
      </c>
      <c r="I401" s="25" t="e">
        <f t="shared" ref="I401:I464" si="15">_xlfn.TEXTJOIN(",",1,A401:H401)&amp;","</f>
        <v>#REF!</v>
      </c>
    </row>
    <row r="402" spans="1:9" x14ac:dyDescent="0.2">
      <c r="A402" t="str">
        <f>"{ id: """&amp;MASTER!H403&amp;""""</f>
        <v>{ id: "402"</v>
      </c>
      <c r="B402" t="str">
        <f>" id2: """&amp;MASTER!G403&amp;""""</f>
        <v xml:space="preserve"> id2: "016"</v>
      </c>
      <c r="C402" t="str">
        <f>" name: """&amp;MASTER!B403&amp;""""</f>
        <v xml:space="preserve"> name: "Kricketune"</v>
      </c>
      <c r="D402" t="str">
        <f t="shared" si="14"/>
        <v xml:space="preserve"> img: "kricketune.gif"</v>
      </c>
      <c r="E402" t="str">
        <f>" type1: """&amp;MASTER!C403&amp;""""</f>
        <v xml:space="preserve"> type1: "Bug"</v>
      </c>
      <c r="F402" t="str">
        <f>" type2: """&amp;MASTER!D403&amp;""""</f>
        <v xml:space="preserve"> type2: ""</v>
      </c>
      <c r="G402" t="str">
        <f>" location: """&amp;_xlfn.TEXTJOIN(" ",1,TRIM(MASTER!M403))&amp;""""</f>
        <v xml:space="preserve"> location: "Route 214 👣 🌃"</v>
      </c>
      <c r="H402" t="e">
        <f>" evolve: """&amp;MASTER!#REF!&amp;""" }"</f>
        <v>#REF!</v>
      </c>
      <c r="I402" s="25" t="e">
        <f t="shared" si="15"/>
        <v>#REF!</v>
      </c>
    </row>
    <row r="403" spans="1:9" x14ac:dyDescent="0.2">
      <c r="A403" t="str">
        <f>"{ id: """&amp;MASTER!H404&amp;""""</f>
        <v>{ id: "403"</v>
      </c>
      <c r="B403" t="str">
        <f>" id2: """&amp;MASTER!G404&amp;""""</f>
        <v xml:space="preserve"> id2: "017"</v>
      </c>
      <c r="C403" t="str">
        <f>" name: """&amp;MASTER!B404&amp;""""</f>
        <v xml:space="preserve"> name: "Shinx"</v>
      </c>
      <c r="D403" t="str">
        <f t="shared" si="14"/>
        <v xml:space="preserve"> img: "shinx.gif"</v>
      </c>
      <c r="E403" t="str">
        <f>" type1: """&amp;MASTER!C404&amp;""""</f>
        <v xml:space="preserve"> type1: "Electric"</v>
      </c>
      <c r="F403" t="str">
        <f>" type2: """&amp;MASTER!D404&amp;""""</f>
        <v xml:space="preserve"> type2: ""</v>
      </c>
      <c r="G403" t="str">
        <f>" location: """&amp;_xlfn.TEXTJOIN(" ",1,TRIM(MASTER!M404))&amp;""""</f>
        <v xml:space="preserve"> location: "Grassland Cave 👣"</v>
      </c>
      <c r="H403" t="e">
        <f>" evolve: """&amp;MASTER!#REF!&amp;""" }"</f>
        <v>#REF!</v>
      </c>
      <c r="I403" s="25" t="e">
        <f t="shared" si="15"/>
        <v>#REF!</v>
      </c>
    </row>
    <row r="404" spans="1:9" x14ac:dyDescent="0.2">
      <c r="A404" t="str">
        <f>"{ id: """&amp;MASTER!H405&amp;""""</f>
        <v>{ id: "404"</v>
      </c>
      <c r="B404" t="str">
        <f>" id2: """&amp;MASTER!G405&amp;""""</f>
        <v xml:space="preserve"> id2: "018"</v>
      </c>
      <c r="C404" t="str">
        <f>" name: """&amp;MASTER!B405&amp;""""</f>
        <v xml:space="preserve"> name: "Luxio"</v>
      </c>
      <c r="D404" t="str">
        <f t="shared" si="14"/>
        <v xml:space="preserve"> img: "luxio.gif"</v>
      </c>
      <c r="E404" t="str">
        <f>" type1: """&amp;MASTER!C405&amp;""""</f>
        <v xml:space="preserve"> type1: "Electric"</v>
      </c>
      <c r="F404" t="str">
        <f>" type2: """&amp;MASTER!D405&amp;""""</f>
        <v xml:space="preserve"> type2: ""</v>
      </c>
      <c r="G404" t="str">
        <f>" location: """&amp;_xlfn.TEXTJOIN(" ",1,TRIM(MASTER!M405))&amp;""""</f>
        <v xml:space="preserve"> location: "Fuego Ironworks 👣 10%"</v>
      </c>
      <c r="H404" t="e">
        <f>" evolve: """&amp;MASTER!#REF!&amp;""" }"</f>
        <v>#REF!</v>
      </c>
      <c r="I404" s="25" t="e">
        <f t="shared" si="15"/>
        <v>#REF!</v>
      </c>
    </row>
    <row r="405" spans="1:9" x14ac:dyDescent="0.2">
      <c r="A405" t="str">
        <f>"{ id: """&amp;MASTER!H406&amp;""""</f>
        <v>{ id: "405"</v>
      </c>
      <c r="B405" t="str">
        <f>" id2: """&amp;MASTER!G406&amp;""""</f>
        <v xml:space="preserve"> id2: "019"</v>
      </c>
      <c r="C405" t="str">
        <f>" name: """&amp;MASTER!B406&amp;""""</f>
        <v xml:space="preserve"> name: "Luxray"</v>
      </c>
      <c r="D405" t="str">
        <f t="shared" si="14"/>
        <v xml:space="preserve"> img: "luxray.gif"</v>
      </c>
      <c r="E405" t="str">
        <f>" type1: """&amp;MASTER!C406&amp;""""</f>
        <v xml:space="preserve"> type1: "Electric"</v>
      </c>
      <c r="F405" t="str">
        <f>" type2: """&amp;MASTER!D406&amp;""""</f>
        <v xml:space="preserve"> type2: ""</v>
      </c>
      <c r="G405" t="str">
        <f>" location: """&amp;_xlfn.TEXTJOIN(" ",1,TRIM(MASTER!M406))&amp;""""</f>
        <v xml:space="preserve"> location: "None"</v>
      </c>
      <c r="H405" t="e">
        <f>" evolve: """&amp;MASTER!#REF!&amp;""" }"</f>
        <v>#REF!</v>
      </c>
      <c r="I405" s="25" t="e">
        <f t="shared" si="15"/>
        <v>#REF!</v>
      </c>
    </row>
    <row r="406" spans="1:9" x14ac:dyDescent="0.2">
      <c r="A406" t="str">
        <f>"{ id: """&amp;MASTER!H407&amp;""""</f>
        <v>{ id: "406"</v>
      </c>
      <c r="B406" t="str">
        <f>" id2: """&amp;MASTER!G407&amp;""""</f>
        <v xml:space="preserve"> id2: "025"</v>
      </c>
      <c r="C406" t="str">
        <f>" name: """&amp;MASTER!B407&amp;""""</f>
        <v xml:space="preserve"> name: "Budew"</v>
      </c>
      <c r="D406" t="str">
        <f t="shared" si="14"/>
        <v xml:space="preserve"> img: "budew.gif"</v>
      </c>
      <c r="E406" t="str">
        <f>" type1: """&amp;MASTER!C407&amp;""""</f>
        <v xml:space="preserve"> type1: "Grass"</v>
      </c>
      <c r="F406" t="str">
        <f>" type2: """&amp;MASTER!D407&amp;""""</f>
        <v xml:space="preserve"> type2: "Poison"</v>
      </c>
      <c r="G406" t="str">
        <f>" location: """&amp;_xlfn.TEXTJOIN(" ",1,TRIM(MASTER!M407))&amp;""""</f>
        <v xml:space="preserve"> location: "Spacious Cave 👣"</v>
      </c>
      <c r="H406" t="e">
        <f>" evolve: """&amp;MASTER!#REF!&amp;""" }"</f>
        <v>#REF!</v>
      </c>
      <c r="I406" s="25" t="e">
        <f t="shared" si="15"/>
        <v>#REF!</v>
      </c>
    </row>
    <row r="407" spans="1:9" x14ac:dyDescent="0.2">
      <c r="A407" t="str">
        <f>"{ id: """&amp;MASTER!H408&amp;""""</f>
        <v>{ id: "407"</v>
      </c>
      <c r="B407" t="str">
        <f>" id2: """&amp;MASTER!G408&amp;""""</f>
        <v xml:space="preserve"> id2: "027"</v>
      </c>
      <c r="C407" t="str">
        <f>" name: """&amp;MASTER!B408&amp;""""</f>
        <v xml:space="preserve"> name: "Roserade"</v>
      </c>
      <c r="D407" t="str">
        <f t="shared" si="14"/>
        <v xml:space="preserve"> img: "roserade.gif"</v>
      </c>
      <c r="E407" t="str">
        <f>" type1: """&amp;MASTER!C408&amp;""""</f>
        <v xml:space="preserve"> type1: "Grass"</v>
      </c>
      <c r="F407" t="str">
        <f>" type2: """&amp;MASTER!D408&amp;""""</f>
        <v xml:space="preserve"> type2: "Poison"</v>
      </c>
      <c r="G407" t="str">
        <f>" location: """&amp;_xlfn.TEXTJOIN(" ",1,TRIM(MASTER!M408))&amp;""""</f>
        <v xml:space="preserve"> location: "None"</v>
      </c>
      <c r="H407" t="e">
        <f>" evolve: """&amp;MASTER!#REF!&amp;""" }"</f>
        <v>#REF!</v>
      </c>
      <c r="I407" s="25" t="e">
        <f t="shared" si="15"/>
        <v>#REF!</v>
      </c>
    </row>
    <row r="408" spans="1:9" x14ac:dyDescent="0.2">
      <c r="A408" t="str">
        <f>"{ id: """&amp;MASTER!H409&amp;""""</f>
        <v>{ id: "408"</v>
      </c>
      <c r="B408" t="str">
        <f>" id2: """&amp;MASTER!G409&amp;""""</f>
        <v xml:space="preserve"> id2: "036"</v>
      </c>
      <c r="C408" t="str">
        <f>" name: """&amp;MASTER!B409&amp;""""</f>
        <v xml:space="preserve"> name: "Cranidos"</v>
      </c>
      <c r="D408" t="str">
        <f t="shared" si="14"/>
        <v xml:space="preserve"> img: "cranidos.gif"</v>
      </c>
      <c r="E408" t="str">
        <f>" type1: """&amp;MASTER!C409&amp;""""</f>
        <v xml:space="preserve"> type1: "Rock"</v>
      </c>
      <c r="F408" t="str">
        <f>" type2: """&amp;MASTER!D409&amp;""""</f>
        <v xml:space="preserve"> type2: ""</v>
      </c>
      <c r="G408" t="str">
        <f>" location: """&amp;_xlfn.TEXTJOIN(" ",1,TRIM(MASTER!M409))&amp;""""</f>
        <v xml:space="preserve"> location: "Oreburgh Museum (Skull Fossil) 💎only"</v>
      </c>
      <c r="H408" t="e">
        <f>" evolve: """&amp;MASTER!#REF!&amp;""" }"</f>
        <v>#REF!</v>
      </c>
      <c r="I408" s="25" t="e">
        <f t="shared" si="15"/>
        <v>#REF!</v>
      </c>
    </row>
    <row r="409" spans="1:9" x14ac:dyDescent="0.2">
      <c r="A409" t="str">
        <f>"{ id: """&amp;MASTER!H410&amp;""""</f>
        <v>{ id: "409"</v>
      </c>
      <c r="B409" t="str">
        <f>" id2: """&amp;MASTER!G410&amp;""""</f>
        <v xml:space="preserve"> id2: "037"</v>
      </c>
      <c r="C409" t="str">
        <f>" name: """&amp;MASTER!B410&amp;""""</f>
        <v xml:space="preserve"> name: "Rampardos"</v>
      </c>
      <c r="D409" t="str">
        <f t="shared" si="14"/>
        <v xml:space="preserve"> img: "rampardos.gif"</v>
      </c>
      <c r="E409" t="str">
        <f>" type1: """&amp;MASTER!C410&amp;""""</f>
        <v xml:space="preserve"> type1: "Rock"</v>
      </c>
      <c r="F409" t="str">
        <f>" type2: """&amp;MASTER!D410&amp;""""</f>
        <v xml:space="preserve"> type2: ""</v>
      </c>
      <c r="G409" t="str">
        <f>" location: """&amp;_xlfn.TEXTJOIN(" ",1,TRIM(MASTER!M410))&amp;""""</f>
        <v xml:space="preserve"> location: "None"</v>
      </c>
      <c r="H409" t="e">
        <f>" evolve: """&amp;MASTER!#REF!&amp;""" }"</f>
        <v>#REF!</v>
      </c>
      <c r="I409" s="25" t="e">
        <f t="shared" si="15"/>
        <v>#REF!</v>
      </c>
    </row>
    <row r="410" spans="1:9" x14ac:dyDescent="0.2">
      <c r="A410" t="str">
        <f>"{ id: """&amp;MASTER!H411&amp;""""</f>
        <v>{ id: "410"</v>
      </c>
      <c r="B410" t="str">
        <f>" id2: """&amp;MASTER!G411&amp;""""</f>
        <v xml:space="preserve"> id2: "038"</v>
      </c>
      <c r="C410" t="str">
        <f>" name: """&amp;MASTER!B411&amp;""""</f>
        <v xml:space="preserve"> name: "Shieldon"</v>
      </c>
      <c r="D410" t="str">
        <f t="shared" si="14"/>
        <v xml:space="preserve"> img: "shieldon.gif"</v>
      </c>
      <c r="E410" t="str">
        <f>" type1: """&amp;MASTER!C411&amp;""""</f>
        <v xml:space="preserve"> type1: "Rock"</v>
      </c>
      <c r="F410" t="str">
        <f>" type2: """&amp;MASTER!D411&amp;""""</f>
        <v xml:space="preserve"> type2: "Steel"</v>
      </c>
      <c r="G410" t="str">
        <f>" location: """&amp;_xlfn.TEXTJOIN(" ",1,TRIM(MASTER!M411))&amp;""""</f>
        <v xml:space="preserve"> location: "Oreburgh Museum (Armor Fossil) ⚪only"</v>
      </c>
      <c r="H410" t="e">
        <f>" evolve: """&amp;MASTER!#REF!&amp;""" }"</f>
        <v>#REF!</v>
      </c>
      <c r="I410" s="25" t="e">
        <f t="shared" si="15"/>
        <v>#REF!</v>
      </c>
    </row>
    <row r="411" spans="1:9" x14ac:dyDescent="0.2">
      <c r="A411" t="str">
        <f>"{ id: """&amp;MASTER!H412&amp;""""</f>
        <v>{ id: "411"</v>
      </c>
      <c r="B411" t="str">
        <f>" id2: """&amp;MASTER!G412&amp;""""</f>
        <v xml:space="preserve"> id2: "039"</v>
      </c>
      <c r="C411" t="str">
        <f>" name: """&amp;MASTER!B412&amp;""""</f>
        <v xml:space="preserve"> name: "Bastiodon"</v>
      </c>
      <c r="D411" t="str">
        <f t="shared" si="14"/>
        <v xml:space="preserve"> img: "bastiodon.gif"</v>
      </c>
      <c r="E411" t="str">
        <f>" type1: """&amp;MASTER!C412&amp;""""</f>
        <v xml:space="preserve"> type1: "Rock"</v>
      </c>
      <c r="F411" t="str">
        <f>" type2: """&amp;MASTER!D412&amp;""""</f>
        <v xml:space="preserve"> type2: "Steel"</v>
      </c>
      <c r="G411" t="str">
        <f>" location: """&amp;_xlfn.TEXTJOIN(" ",1,TRIM(MASTER!M412))&amp;""""</f>
        <v xml:space="preserve"> location: "None"</v>
      </c>
      <c r="H411" t="e">
        <f>" evolve: """&amp;MASTER!#REF!&amp;""" }"</f>
        <v>#REF!</v>
      </c>
      <c r="I411" s="25" t="e">
        <f t="shared" si="15"/>
        <v>#REF!</v>
      </c>
    </row>
    <row r="412" spans="1:9" x14ac:dyDescent="0.2">
      <c r="A412" t="str">
        <f>"{ id: """&amp;MASTER!H413&amp;""""</f>
        <v>{ id: "412"</v>
      </c>
      <c r="B412" t="str">
        <f>" id2: """&amp;MASTER!G413&amp;""""</f>
        <v xml:space="preserve"> id2: "045"</v>
      </c>
      <c r="C412" t="str">
        <f>" name: """&amp;MASTER!B413&amp;""""</f>
        <v xml:space="preserve"> name: "Burmy"</v>
      </c>
      <c r="D412" t="str">
        <f t="shared" si="14"/>
        <v xml:space="preserve"> img: "burmy.gif"</v>
      </c>
      <c r="E412" t="str">
        <f>" type1: """&amp;MASTER!C413&amp;""""</f>
        <v xml:space="preserve"> type1: "Bug"</v>
      </c>
      <c r="F412" t="str">
        <f>" type2: """&amp;MASTER!D413&amp;""""</f>
        <v xml:space="preserve"> type2: ""</v>
      </c>
      <c r="G412" t="str">
        <f>" location: """&amp;_xlfn.TEXTJOIN(" ",1,TRIM(MASTER!M413))&amp;""""</f>
        <v xml:space="preserve"> location: "Route 205 – 215 🌳 11%"</v>
      </c>
      <c r="H412" t="e">
        <f>" evolve: """&amp;MASTER!#REF!&amp;""" }"</f>
        <v>#REF!</v>
      </c>
      <c r="I412" s="25" t="e">
        <f t="shared" si="15"/>
        <v>#REF!</v>
      </c>
    </row>
    <row r="413" spans="1:9" x14ac:dyDescent="0.2">
      <c r="A413" t="str">
        <f>"{ id: """&amp;MASTER!H414&amp;""""</f>
        <v>{ id: "413"</v>
      </c>
      <c r="B413" t="str">
        <f>" id2: """&amp;MASTER!G414&amp;""""</f>
        <v xml:space="preserve"> id2: "046"</v>
      </c>
      <c r="C413" t="str">
        <f>" name: """&amp;MASTER!B414&amp;""""</f>
        <v xml:space="preserve"> name: "Wormadam"</v>
      </c>
      <c r="D413" t="str">
        <f t="shared" si="14"/>
        <v xml:space="preserve"> img: "wormadam.gif"</v>
      </c>
      <c r="E413" t="str">
        <f>" type1: """&amp;MASTER!C414&amp;""""</f>
        <v xml:space="preserve"> type1: "Bug"</v>
      </c>
      <c r="F413" t="str">
        <f>" type2: """&amp;MASTER!D414&amp;""""</f>
        <v xml:space="preserve"> type2: "Grass"</v>
      </c>
      <c r="G413" t="str">
        <f>" location: """&amp;_xlfn.TEXTJOIN(" ",1,TRIM(MASTER!M414))&amp;""""</f>
        <v xml:space="preserve"> location: "None"</v>
      </c>
      <c r="H413" t="e">
        <f>" evolve: """&amp;MASTER!#REF!&amp;""" }"</f>
        <v>#REF!</v>
      </c>
      <c r="I413" s="25" t="e">
        <f t="shared" si="15"/>
        <v>#REF!</v>
      </c>
    </row>
    <row r="414" spans="1:9" x14ac:dyDescent="0.2">
      <c r="A414" t="str">
        <f>"{ id: """&amp;MASTER!H415&amp;""""</f>
        <v>{ id: "414"</v>
      </c>
      <c r="B414" t="str">
        <f>" id2: """&amp;MASTER!G415&amp;""""</f>
        <v xml:space="preserve"> id2: "047"</v>
      </c>
      <c r="C414" t="str">
        <f>" name: """&amp;MASTER!B415&amp;""""</f>
        <v xml:space="preserve"> name: "Mothim"</v>
      </c>
      <c r="D414" t="str">
        <f t="shared" si="14"/>
        <v xml:space="preserve"> img: "mothim.gif"</v>
      </c>
      <c r="E414" t="str">
        <f>" type1: """&amp;MASTER!C415&amp;""""</f>
        <v xml:space="preserve"> type1: "Bug"</v>
      </c>
      <c r="F414" t="str">
        <f>" type2: """&amp;MASTER!D415&amp;""""</f>
        <v xml:space="preserve"> type2: "Flying"</v>
      </c>
      <c r="G414" t="str">
        <f>" location: """&amp;_xlfn.TEXTJOIN(" ",1,TRIM(MASTER!M415))&amp;""""</f>
        <v xml:space="preserve"> location: "None"</v>
      </c>
      <c r="H414" t="e">
        <f>" evolve: """&amp;MASTER!#REF!&amp;""" }"</f>
        <v>#REF!</v>
      </c>
      <c r="I414" s="25" t="e">
        <f t="shared" si="15"/>
        <v>#REF!</v>
      </c>
    </row>
    <row r="415" spans="1:9" x14ac:dyDescent="0.2">
      <c r="A415" t="str">
        <f>"{ id: """&amp;MASTER!H416&amp;""""</f>
        <v>{ id: "415"</v>
      </c>
      <c r="B415" t="str">
        <f>" id2: """&amp;MASTER!G416&amp;""""</f>
        <v xml:space="preserve"> id2: "053"</v>
      </c>
      <c r="C415" t="str">
        <f>" name: """&amp;MASTER!B416&amp;""""</f>
        <v xml:space="preserve"> name: "Combee"</v>
      </c>
      <c r="D415" t="str">
        <f t="shared" si="14"/>
        <v xml:space="preserve"> img: "combee.gif"</v>
      </c>
      <c r="E415" t="str">
        <f>" type1: """&amp;MASTER!C416&amp;""""</f>
        <v xml:space="preserve"> type1: "Bug"</v>
      </c>
      <c r="F415" t="str">
        <f>" type2: """&amp;MASTER!D416&amp;""""</f>
        <v xml:space="preserve"> type2: "Flying"</v>
      </c>
      <c r="G415" t="str">
        <f>" location: """&amp;_xlfn.TEXTJOIN(" ",1,TRIM(MASTER!M416))&amp;""""</f>
        <v xml:space="preserve"> location: "Grassland Cave 👣"</v>
      </c>
      <c r="H415" t="e">
        <f>" evolve: """&amp;MASTER!#REF!&amp;""" }"</f>
        <v>#REF!</v>
      </c>
      <c r="I415" s="25" t="e">
        <f t="shared" si="15"/>
        <v>#REF!</v>
      </c>
    </row>
    <row r="416" spans="1:9" x14ac:dyDescent="0.2">
      <c r="A416" t="str">
        <f>"{ id: """&amp;MASTER!H417&amp;""""</f>
        <v>{ id: "416"</v>
      </c>
      <c r="B416" t="str">
        <f>" id2: """&amp;MASTER!G417&amp;""""</f>
        <v xml:space="preserve"> id2: "054"</v>
      </c>
      <c r="C416" t="str">
        <f>" name: """&amp;MASTER!B417&amp;""""</f>
        <v xml:space="preserve"> name: "Vespiquen"</v>
      </c>
      <c r="D416" t="str">
        <f t="shared" si="14"/>
        <v xml:space="preserve"> img: "vespiquen.gif"</v>
      </c>
      <c r="E416" t="str">
        <f>" type1: """&amp;MASTER!C417&amp;""""</f>
        <v xml:space="preserve"> type1: "Bug"</v>
      </c>
      <c r="F416" t="str">
        <f>" type2: """&amp;MASTER!D417&amp;""""</f>
        <v xml:space="preserve"> type2: "Flying"</v>
      </c>
      <c r="G416" t="str">
        <f>" location: """&amp;_xlfn.TEXTJOIN(" ",1,TRIM(MASTER!M417))&amp;""""</f>
        <v xml:space="preserve"> location: "None"</v>
      </c>
      <c r="H416" t="e">
        <f>" evolve: """&amp;MASTER!#REF!&amp;""" }"</f>
        <v>#REF!</v>
      </c>
      <c r="I416" s="25" t="e">
        <f t="shared" si="15"/>
        <v>#REF!</v>
      </c>
    </row>
    <row r="417" spans="1:9" x14ac:dyDescent="0.2">
      <c r="A417" t="str">
        <f>"{ id: """&amp;MASTER!H418&amp;""""</f>
        <v>{ id: "417"</v>
      </c>
      <c r="B417" t="str">
        <f>" id2: """&amp;MASTER!G418&amp;""""</f>
        <v xml:space="preserve"> id2: "055"</v>
      </c>
      <c r="C417" t="str">
        <f>" name: """&amp;MASTER!B418&amp;""""</f>
        <v xml:space="preserve"> name: "Pachirisu"</v>
      </c>
      <c r="D417" t="str">
        <f t="shared" si="14"/>
        <v xml:space="preserve"> img: "pachirisu.gif"</v>
      </c>
      <c r="E417" t="str">
        <f>" type1: """&amp;MASTER!C418&amp;""""</f>
        <v xml:space="preserve"> type1: "Electric"</v>
      </c>
      <c r="F417" t="str">
        <f>" type2: """&amp;MASTER!D418&amp;""""</f>
        <v xml:space="preserve"> type2: ""</v>
      </c>
      <c r="G417" t="str">
        <f>" location: """&amp;_xlfn.TEXTJOIN(" ",1,TRIM(MASTER!M418))&amp;""""</f>
        <v xml:space="preserve"> location: "Spacious Cave 👣"</v>
      </c>
      <c r="H417" t="e">
        <f>" evolve: """&amp;MASTER!#REF!&amp;""" }"</f>
        <v>#REF!</v>
      </c>
      <c r="I417" s="25" t="e">
        <f t="shared" si="15"/>
        <v>#REF!</v>
      </c>
    </row>
    <row r="418" spans="1:9" x14ac:dyDescent="0.2">
      <c r="A418" t="str">
        <f>"{ id: """&amp;MASTER!H419&amp;""""</f>
        <v>{ id: "418"</v>
      </c>
      <c r="B418" t="str">
        <f>" id2: """&amp;MASTER!G419&amp;""""</f>
        <v xml:space="preserve"> id2: "056"</v>
      </c>
      <c r="C418" t="str">
        <f>" name: """&amp;MASTER!B419&amp;""""</f>
        <v xml:space="preserve"> name: "Buizel"</v>
      </c>
      <c r="D418" t="str">
        <f t="shared" si="14"/>
        <v xml:space="preserve"> img: "buizel.gif"</v>
      </c>
      <c r="E418" t="str">
        <f>" type1: """&amp;MASTER!C419&amp;""""</f>
        <v xml:space="preserve"> type1: "Water"</v>
      </c>
      <c r="F418" t="str">
        <f>" type2: """&amp;MASTER!D419&amp;""""</f>
        <v xml:space="preserve"> type2: ""</v>
      </c>
      <c r="G418" t="str">
        <f>" location: """&amp;_xlfn.TEXTJOIN(" ",1,TRIM(MASTER!M419))&amp;""""</f>
        <v xml:space="preserve"> location: "Fountainspring Cave 👣"</v>
      </c>
      <c r="H418" t="e">
        <f>" evolve: """&amp;MASTER!#REF!&amp;""" }"</f>
        <v>#REF!</v>
      </c>
      <c r="I418" s="25" t="e">
        <f t="shared" si="15"/>
        <v>#REF!</v>
      </c>
    </row>
    <row r="419" spans="1:9" x14ac:dyDescent="0.2">
      <c r="A419" t="str">
        <f>"{ id: """&amp;MASTER!H420&amp;""""</f>
        <v>{ id: "419"</v>
      </c>
      <c r="B419" t="str">
        <f>" id2: """&amp;MASTER!G420&amp;""""</f>
        <v xml:space="preserve"> id2: "057"</v>
      </c>
      <c r="C419" t="str">
        <f>" name: """&amp;MASTER!B420&amp;""""</f>
        <v xml:space="preserve"> name: "Floatzel"</v>
      </c>
      <c r="D419" t="str">
        <f t="shared" si="14"/>
        <v xml:space="preserve"> img: "floatzel.gif"</v>
      </c>
      <c r="E419" t="str">
        <f>" type1: """&amp;MASTER!C420&amp;""""</f>
        <v xml:space="preserve"> type1: "Water"</v>
      </c>
      <c r="F419" t="str">
        <f>" type2: """&amp;MASTER!D420&amp;""""</f>
        <v xml:space="preserve"> type2: ""</v>
      </c>
      <c r="G419" t="str">
        <f>" location: """&amp;_xlfn.TEXTJOIN(" ",1,TRIM(MASTER!M420))&amp;""""</f>
        <v xml:space="preserve"> location: "Victory Road B1F 👣"</v>
      </c>
      <c r="H419" t="e">
        <f>" evolve: """&amp;MASTER!#REF!&amp;""" }"</f>
        <v>#REF!</v>
      </c>
      <c r="I419" s="25" t="e">
        <f t="shared" si="15"/>
        <v>#REF!</v>
      </c>
    </row>
    <row r="420" spans="1:9" x14ac:dyDescent="0.2">
      <c r="A420" t="str">
        <f>"{ id: """&amp;MASTER!H421&amp;""""</f>
        <v>{ id: "420"</v>
      </c>
      <c r="B420" t="str">
        <f>" id2: """&amp;MASTER!G421&amp;""""</f>
        <v xml:space="preserve"> id2: "058"</v>
      </c>
      <c r="C420" t="str">
        <f>" name: """&amp;MASTER!B421&amp;""""</f>
        <v xml:space="preserve"> name: "Cherubi"</v>
      </c>
      <c r="D420" t="str">
        <f t="shared" si="14"/>
        <v xml:space="preserve"> img: "cherubi.gif"</v>
      </c>
      <c r="E420" t="str">
        <f>" type1: """&amp;MASTER!C421&amp;""""</f>
        <v xml:space="preserve"> type1: "Grass"</v>
      </c>
      <c r="F420" t="str">
        <f>" type2: """&amp;MASTER!D421&amp;""""</f>
        <v xml:space="preserve"> type2: ""</v>
      </c>
      <c r="G420" t="str">
        <f>" location: """&amp;_xlfn.TEXTJOIN(" ",1,TRIM(MASTER!M421))&amp;""""</f>
        <v xml:space="preserve"> location: "Grassland Cave 👣"</v>
      </c>
      <c r="H420" t="e">
        <f>" evolve: """&amp;MASTER!#REF!&amp;""" }"</f>
        <v>#REF!</v>
      </c>
      <c r="I420" s="25" t="e">
        <f t="shared" si="15"/>
        <v>#REF!</v>
      </c>
    </row>
    <row r="421" spans="1:9" x14ac:dyDescent="0.2">
      <c r="A421" t="str">
        <f>"{ id: """&amp;MASTER!H422&amp;""""</f>
        <v>{ id: "421"</v>
      </c>
      <c r="B421" t="str">
        <f>" id2: """&amp;MASTER!G422&amp;""""</f>
        <v xml:space="preserve"> id2: "059"</v>
      </c>
      <c r="C421" t="str">
        <f>" name: """&amp;MASTER!B422&amp;""""</f>
        <v xml:space="preserve"> name: "Cherrim"</v>
      </c>
      <c r="D421" t="str">
        <f t="shared" si="14"/>
        <v xml:space="preserve"> img: "cherrim.gif"</v>
      </c>
      <c r="E421" t="str">
        <f>" type1: """&amp;MASTER!C422&amp;""""</f>
        <v xml:space="preserve"> type1: "Grass"</v>
      </c>
      <c r="F421" t="str">
        <f>" type2: """&amp;MASTER!D422&amp;""""</f>
        <v xml:space="preserve"> type2: ""</v>
      </c>
      <c r="G421" t="str">
        <f>" location: """&amp;_xlfn.TEXTJOIN(" ",1,TRIM(MASTER!M422))&amp;""""</f>
        <v xml:space="preserve"> location: "None"</v>
      </c>
      <c r="H421" t="e">
        <f>" evolve: """&amp;MASTER!#REF!&amp;""" }"</f>
        <v>#REF!</v>
      </c>
      <c r="I421" s="25" t="e">
        <f t="shared" si="15"/>
        <v>#REF!</v>
      </c>
    </row>
    <row r="422" spans="1:9" x14ac:dyDescent="0.2">
      <c r="A422" t="str">
        <f>"{ id: """&amp;MASTER!H423&amp;""""</f>
        <v>{ id: "422"</v>
      </c>
      <c r="B422" t="str">
        <f>" id2: """&amp;MASTER!G423&amp;""""</f>
        <v xml:space="preserve"> id2: "060"</v>
      </c>
      <c r="C422" t="str">
        <f>" name: """&amp;MASTER!B423&amp;""""</f>
        <v xml:space="preserve"> name: "Shellos"</v>
      </c>
      <c r="D422" t="str">
        <f t="shared" si="14"/>
        <v xml:space="preserve"> img: "shellos.gif"</v>
      </c>
      <c r="E422" t="str">
        <f>" type1: """&amp;MASTER!C423&amp;""""</f>
        <v xml:space="preserve"> type1: "Water"</v>
      </c>
      <c r="F422" t="str">
        <f>" type2: """&amp;MASTER!D423&amp;""""</f>
        <v xml:space="preserve"> type2: ""</v>
      </c>
      <c r="G422" t="str">
        <f>" location: """&amp;_xlfn.TEXTJOIN(" ",1,TRIM(MASTER!M423))&amp;""""</f>
        <v xml:space="preserve"> location: "Fountainspring Cave 👣"</v>
      </c>
      <c r="H422" t="e">
        <f>" evolve: """&amp;MASTER!#REF!&amp;""" }"</f>
        <v>#REF!</v>
      </c>
      <c r="I422" s="25" t="e">
        <f t="shared" si="15"/>
        <v>#REF!</v>
      </c>
    </row>
    <row r="423" spans="1:9" x14ac:dyDescent="0.2">
      <c r="A423" t="str">
        <f>"{ id: """&amp;MASTER!H424&amp;""""</f>
        <v>{ id: "423"</v>
      </c>
      <c r="B423" t="str">
        <f>" id2: """&amp;MASTER!G424&amp;""""</f>
        <v xml:space="preserve"> id2: "061"</v>
      </c>
      <c r="C423" t="str">
        <f>" name: """&amp;MASTER!B424&amp;""""</f>
        <v xml:space="preserve"> name: "Gastrodon"</v>
      </c>
      <c r="D423" t="str">
        <f t="shared" si="14"/>
        <v xml:space="preserve"> img: "gastrodon.gif"</v>
      </c>
      <c r="E423" t="str">
        <f>" type1: """&amp;MASTER!C424&amp;""""</f>
        <v xml:space="preserve"> type1: "Water"</v>
      </c>
      <c r="F423" t="str">
        <f>" type2: """&amp;MASTER!D424&amp;""""</f>
        <v xml:space="preserve"> type2: "Ground"</v>
      </c>
      <c r="G423" t="str">
        <f>" location: """&amp;_xlfn.TEXTJOIN(" ",1,TRIM(MASTER!M424))&amp;""""</f>
        <v xml:space="preserve"> location: "Fountainspring Cave 👣"</v>
      </c>
      <c r="H423" t="e">
        <f>" evolve: """&amp;MASTER!#REF!&amp;""" }"</f>
        <v>#REF!</v>
      </c>
      <c r="I423" s="25" t="e">
        <f t="shared" si="15"/>
        <v>#REF!</v>
      </c>
    </row>
    <row r="424" spans="1:9" x14ac:dyDescent="0.2">
      <c r="A424" t="str">
        <f>"{ id: """&amp;MASTER!H425&amp;""""</f>
        <v>{ id: "424"</v>
      </c>
      <c r="B424" t="str">
        <f>" id2: """&amp;MASTER!G425&amp;""""</f>
        <v xml:space="preserve"> id2: "064"</v>
      </c>
      <c r="C424" t="str">
        <f>" name: """&amp;MASTER!B425&amp;""""</f>
        <v xml:space="preserve"> name: "Ambipom"</v>
      </c>
      <c r="D424" t="str">
        <f t="shared" si="14"/>
        <v xml:space="preserve"> img: "ambipom.gif"</v>
      </c>
      <c r="E424" t="str">
        <f>" type1: """&amp;MASTER!C425&amp;""""</f>
        <v xml:space="preserve"> type1: "Normal"</v>
      </c>
      <c r="F424" t="str">
        <f>" type2: """&amp;MASTER!D425&amp;""""</f>
        <v xml:space="preserve"> type2: ""</v>
      </c>
      <c r="G424" t="str">
        <f>" location: """&amp;_xlfn.TEXTJOIN(" ",1,TRIM(MASTER!M425))&amp;""""</f>
        <v xml:space="preserve"> location: "None"</v>
      </c>
      <c r="H424" t="e">
        <f>" evolve: """&amp;MASTER!#REF!&amp;""" }"</f>
        <v>#REF!</v>
      </c>
      <c r="I424" s="25" t="e">
        <f t="shared" si="15"/>
        <v>#REF!</v>
      </c>
    </row>
    <row r="425" spans="1:9" x14ac:dyDescent="0.2">
      <c r="A425" t="str">
        <f>"{ id: """&amp;MASTER!H426&amp;""""</f>
        <v>{ id: "425"</v>
      </c>
      <c r="B425" t="str">
        <f>" id2: """&amp;MASTER!G426&amp;""""</f>
        <v xml:space="preserve"> id2: "065"</v>
      </c>
      <c r="C425" t="str">
        <f>" name: """&amp;MASTER!B426&amp;""""</f>
        <v xml:space="preserve"> name: "Drifloon"</v>
      </c>
      <c r="D425" t="str">
        <f t="shared" si="14"/>
        <v xml:space="preserve"> img: "drifloon.gif"</v>
      </c>
      <c r="E425" t="str">
        <f>" type1: """&amp;MASTER!C426&amp;""""</f>
        <v xml:space="preserve"> type1: "Ghost"</v>
      </c>
      <c r="F425" t="str">
        <f>" type2: """&amp;MASTER!D426&amp;""""</f>
        <v xml:space="preserve"> type2: "Flying"</v>
      </c>
      <c r="G425" t="str">
        <f>" location: """&amp;_xlfn.TEXTJOIN(" ",1,TRIM(MASTER!M426))&amp;""""</f>
        <v xml:space="preserve"> location: "Valley Windworks 📍 Fridays"</v>
      </c>
      <c r="H425" t="e">
        <f>" evolve: """&amp;MASTER!#REF!&amp;""" }"</f>
        <v>#REF!</v>
      </c>
      <c r="I425" s="25" t="e">
        <f t="shared" si="15"/>
        <v>#REF!</v>
      </c>
    </row>
    <row r="426" spans="1:9" x14ac:dyDescent="0.2">
      <c r="A426" t="str">
        <f>"{ id: """&amp;MASTER!H427&amp;""""</f>
        <v>{ id: "426"</v>
      </c>
      <c r="B426" t="str">
        <f>" id2: """&amp;MASTER!G427&amp;""""</f>
        <v xml:space="preserve"> id2: "066"</v>
      </c>
      <c r="C426" t="str">
        <f>" name: """&amp;MASTER!B427&amp;""""</f>
        <v xml:space="preserve"> name: "Drifblim"</v>
      </c>
      <c r="D426" t="str">
        <f t="shared" si="14"/>
        <v xml:space="preserve"> img: "drifblim.gif"</v>
      </c>
      <c r="E426" t="str">
        <f>" type1: """&amp;MASTER!C427&amp;""""</f>
        <v xml:space="preserve"> type1: "Ghost"</v>
      </c>
      <c r="F426" t="str">
        <f>" type2: """&amp;MASTER!D427&amp;""""</f>
        <v xml:space="preserve"> type2: "Flying"</v>
      </c>
      <c r="G426" t="str">
        <f>" location: """&amp;_xlfn.TEXTJOIN(" ",1,TRIM(MASTER!M427))&amp;""""</f>
        <v xml:space="preserve"> location: "None"</v>
      </c>
      <c r="H426" t="e">
        <f>" evolve: """&amp;MASTER!#REF!&amp;""" }"</f>
        <v>#REF!</v>
      </c>
      <c r="I426" s="25" t="e">
        <f t="shared" si="15"/>
        <v>#REF!</v>
      </c>
    </row>
    <row r="427" spans="1:9" x14ac:dyDescent="0.2">
      <c r="A427" t="str">
        <f>"{ id: """&amp;MASTER!H428&amp;""""</f>
        <v>{ id: "427"</v>
      </c>
      <c r="B427" t="str">
        <f>" id2: """&amp;MASTER!G428&amp;""""</f>
        <v xml:space="preserve"> id2: "067"</v>
      </c>
      <c r="C427" t="str">
        <f>" name: """&amp;MASTER!B428&amp;""""</f>
        <v xml:space="preserve"> name: "Buneary"</v>
      </c>
      <c r="D427" t="str">
        <f t="shared" si="14"/>
        <v xml:space="preserve"> img: "buneary.gif"</v>
      </c>
      <c r="E427" t="str">
        <f>" type1: """&amp;MASTER!C428&amp;""""</f>
        <v xml:space="preserve"> type1: "Normal"</v>
      </c>
      <c r="F427" t="str">
        <f>" type2: """&amp;MASTER!D428&amp;""""</f>
        <v xml:space="preserve"> type2: ""</v>
      </c>
      <c r="G427" t="str">
        <f>" location: """&amp;_xlfn.TEXTJOIN(" ",1,TRIM(MASTER!M428))&amp;""""</f>
        <v xml:space="preserve"> location: "Spacious Cave 👣"</v>
      </c>
      <c r="H427" t="e">
        <f>" evolve: """&amp;MASTER!#REF!&amp;""" }"</f>
        <v>#REF!</v>
      </c>
      <c r="I427" s="25" t="e">
        <f t="shared" si="15"/>
        <v>#REF!</v>
      </c>
    </row>
    <row r="428" spans="1:9" x14ac:dyDescent="0.2">
      <c r="A428" t="str">
        <f>"{ id: """&amp;MASTER!H429&amp;""""</f>
        <v>{ id: "428"</v>
      </c>
      <c r="B428" t="str">
        <f>" id2: """&amp;MASTER!G429&amp;""""</f>
        <v xml:space="preserve"> id2: "068"</v>
      </c>
      <c r="C428" t="str">
        <f>" name: """&amp;MASTER!B429&amp;""""</f>
        <v xml:space="preserve"> name: "Lopunny"</v>
      </c>
      <c r="D428" t="str">
        <f t="shared" si="14"/>
        <v xml:space="preserve"> img: "lopunny.gif"</v>
      </c>
      <c r="E428" t="str">
        <f>" type1: """&amp;MASTER!C429&amp;""""</f>
        <v xml:space="preserve"> type1: "Normal"</v>
      </c>
      <c r="F428" t="str">
        <f>" type2: """&amp;MASTER!D429&amp;""""</f>
        <v xml:space="preserve"> type2: ""</v>
      </c>
      <c r="G428" t="str">
        <f>" location: """&amp;_xlfn.TEXTJOIN(" ",1,TRIM(MASTER!M429))&amp;""""</f>
        <v xml:space="preserve"> location: "None"</v>
      </c>
      <c r="H428" t="e">
        <f>" evolve: """&amp;MASTER!#REF!&amp;""" }"</f>
        <v>#REF!</v>
      </c>
      <c r="I428" s="25" t="e">
        <f t="shared" si="15"/>
        <v>#REF!</v>
      </c>
    </row>
    <row r="429" spans="1:9" x14ac:dyDescent="0.2">
      <c r="A429" t="str">
        <f>"{ id: """&amp;MASTER!H430&amp;""""</f>
        <v>{ id: "429"</v>
      </c>
      <c r="B429" t="str">
        <f>" id2: """&amp;MASTER!G430&amp;""""</f>
        <v xml:space="preserve"> id2: "073"</v>
      </c>
      <c r="C429" t="str">
        <f>" name: """&amp;MASTER!B430&amp;""""</f>
        <v xml:space="preserve"> name: "Mismagius"</v>
      </c>
      <c r="D429" t="str">
        <f t="shared" si="14"/>
        <v xml:space="preserve"> img: "mismagius.gif"</v>
      </c>
      <c r="E429" t="str">
        <f>" type1: """&amp;MASTER!C430&amp;""""</f>
        <v xml:space="preserve"> type1: "Ghost"</v>
      </c>
      <c r="F429" t="str">
        <f>" type2: """&amp;MASTER!D430&amp;""""</f>
        <v xml:space="preserve"> type2: ""</v>
      </c>
      <c r="G429" t="str">
        <f>" location: """&amp;_xlfn.TEXTJOIN(" ",1,TRIM(MASTER!M430))&amp;""""</f>
        <v xml:space="preserve"> location: "None"</v>
      </c>
      <c r="H429" t="e">
        <f>" evolve: """&amp;MASTER!#REF!&amp;""" }"</f>
        <v>#REF!</v>
      </c>
      <c r="I429" s="25" t="e">
        <f t="shared" si="15"/>
        <v>#REF!</v>
      </c>
    </row>
    <row r="430" spans="1:9" x14ac:dyDescent="0.2">
      <c r="A430" t="str">
        <f>"{ id: """&amp;MASTER!H431&amp;""""</f>
        <v>{ id: "430"</v>
      </c>
      <c r="B430" t="str">
        <f>" id2: """&amp;MASTER!G431&amp;""""</f>
        <v xml:space="preserve"> id2: "075"</v>
      </c>
      <c r="C430" t="str">
        <f>" name: """&amp;MASTER!B431&amp;""""</f>
        <v xml:space="preserve"> name: "Honchkrow"</v>
      </c>
      <c r="D430" t="str">
        <f t="shared" si="14"/>
        <v xml:space="preserve"> img: "honchkrow.gif"</v>
      </c>
      <c r="E430" t="str">
        <f>" type1: """&amp;MASTER!C431&amp;""""</f>
        <v xml:space="preserve"> type1: "Dark"</v>
      </c>
      <c r="F430" t="str">
        <f>" type2: """&amp;MASTER!D431&amp;""""</f>
        <v xml:space="preserve"> type2: "Flying"</v>
      </c>
      <c r="G430" t="str">
        <f>" location: """&amp;_xlfn.TEXTJOIN(" ",1,TRIM(MASTER!M431))&amp;""""</f>
        <v xml:space="preserve"> location: "None"</v>
      </c>
      <c r="H430" t="e">
        <f>" evolve: """&amp;MASTER!#REF!&amp;""" }"</f>
        <v>#REF!</v>
      </c>
      <c r="I430" s="25" t="e">
        <f t="shared" si="15"/>
        <v>#REF!</v>
      </c>
    </row>
    <row r="431" spans="1:9" x14ac:dyDescent="0.2">
      <c r="A431" t="str">
        <f>"{ id: """&amp;MASTER!H432&amp;""""</f>
        <v>{ id: "431"</v>
      </c>
      <c r="B431" t="str">
        <f>" id2: """&amp;MASTER!G432&amp;""""</f>
        <v xml:space="preserve"> id2: "076"</v>
      </c>
      <c r="C431" t="str">
        <f>" name: """&amp;MASTER!B432&amp;""""</f>
        <v xml:space="preserve"> name: "Glameow"</v>
      </c>
      <c r="D431" t="str">
        <f t="shared" si="14"/>
        <v xml:space="preserve"> img: "glameow.gif"</v>
      </c>
      <c r="E431" t="str">
        <f>" type1: """&amp;MASTER!C432&amp;""""</f>
        <v xml:space="preserve"> type1: "Normal"</v>
      </c>
      <c r="F431" t="str">
        <f>" type2: """&amp;MASTER!D432&amp;""""</f>
        <v xml:space="preserve"> type2: ""</v>
      </c>
      <c r="G431" t="str">
        <f>" location: """&amp;_xlfn.TEXTJOIN(" ",1,TRIM(MASTER!M432))&amp;""""</f>
        <v xml:space="preserve"> location: "Route 222 👣 20% ⚪only"</v>
      </c>
      <c r="H431" t="e">
        <f>" evolve: """&amp;MASTER!#REF!&amp;""" }"</f>
        <v>#REF!</v>
      </c>
      <c r="I431" s="25" t="e">
        <f t="shared" si="15"/>
        <v>#REF!</v>
      </c>
    </row>
    <row r="432" spans="1:9" x14ac:dyDescent="0.2">
      <c r="A432" t="str">
        <f>"{ id: """&amp;MASTER!H433&amp;""""</f>
        <v>{ id: "432"</v>
      </c>
      <c r="B432" t="str">
        <f>" id2: """&amp;MASTER!G433&amp;""""</f>
        <v xml:space="preserve"> id2: "077"</v>
      </c>
      <c r="C432" t="str">
        <f>" name: """&amp;MASTER!B433&amp;""""</f>
        <v xml:space="preserve"> name: "Purugly"</v>
      </c>
      <c r="D432" t="str">
        <f t="shared" si="14"/>
        <v xml:space="preserve"> img: "purugly.gif"</v>
      </c>
      <c r="E432" t="str">
        <f>" type1: """&amp;MASTER!C433&amp;""""</f>
        <v xml:space="preserve"> type1: "Normal"</v>
      </c>
      <c r="F432" t="str">
        <f>" type2: """&amp;MASTER!D433&amp;""""</f>
        <v xml:space="preserve"> type2: ""</v>
      </c>
      <c r="G432" t="str">
        <f>" location: """&amp;_xlfn.TEXTJOIN(" ",1,TRIM(MASTER!M433))&amp;""""</f>
        <v xml:space="preserve"> location: "Spacious Cave (Know Defog) 👣 ⚪only"</v>
      </c>
      <c r="H432" t="e">
        <f>" evolve: """&amp;MASTER!#REF!&amp;""" }"</f>
        <v>#REF!</v>
      </c>
      <c r="I432" s="25" t="e">
        <f t="shared" si="15"/>
        <v>#REF!</v>
      </c>
    </row>
    <row r="433" spans="1:9" x14ac:dyDescent="0.2">
      <c r="A433" t="str">
        <f>"{ id: """&amp;MASTER!H434&amp;""""</f>
        <v>{ id: "433"</v>
      </c>
      <c r="B433" t="str">
        <f>" id2: """&amp;MASTER!G434&amp;""""</f>
        <v xml:space="preserve"> id2: "082"</v>
      </c>
      <c r="C433" t="str">
        <f>" name: """&amp;MASTER!B434&amp;""""</f>
        <v xml:space="preserve"> name: "Chingling"</v>
      </c>
      <c r="D433" t="str">
        <f t="shared" si="14"/>
        <v xml:space="preserve"> img: "chingling.gif"</v>
      </c>
      <c r="E433" t="str">
        <f>" type1: """&amp;MASTER!C434&amp;""""</f>
        <v xml:space="preserve"> type1: "Psychic"</v>
      </c>
      <c r="F433" t="str">
        <f>" type2: """&amp;MASTER!D434&amp;""""</f>
        <v xml:space="preserve"> type2: ""</v>
      </c>
      <c r="G433" t="str">
        <f>" location: """&amp;_xlfn.TEXTJOIN(" ",1,TRIM(MASTER!M434))&amp;""""</f>
        <v xml:space="preserve"> location: "Dazzling Cave (Know Strength) 👣"</v>
      </c>
      <c r="H433" t="e">
        <f>" evolve: """&amp;MASTER!#REF!&amp;""" }"</f>
        <v>#REF!</v>
      </c>
      <c r="I433" s="25" t="e">
        <f t="shared" si="15"/>
        <v>#REF!</v>
      </c>
    </row>
    <row r="434" spans="1:9" x14ac:dyDescent="0.2">
      <c r="A434" t="str">
        <f>"{ id: """&amp;MASTER!H435&amp;""""</f>
        <v>{ id: "434"</v>
      </c>
      <c r="B434" t="str">
        <f>" id2: """&amp;MASTER!G435&amp;""""</f>
        <v xml:space="preserve"> id2: "084"</v>
      </c>
      <c r="C434" t="str">
        <f>" name: """&amp;MASTER!B435&amp;""""</f>
        <v xml:space="preserve"> name: "Stunky"</v>
      </c>
      <c r="D434" t="str">
        <f t="shared" si="14"/>
        <v xml:space="preserve"> img: "stunky.gif"</v>
      </c>
      <c r="E434" t="str">
        <f>" type1: """&amp;MASTER!C435&amp;""""</f>
        <v xml:space="preserve"> type1: "Poison"</v>
      </c>
      <c r="F434" t="str">
        <f>" type2: """&amp;MASTER!D435&amp;""""</f>
        <v xml:space="preserve"> type2: "Dark"</v>
      </c>
      <c r="G434" t="str">
        <f>" location: """&amp;_xlfn.TEXTJOIN(" ",1,TRIM(MASTER!M435))&amp;""""</f>
        <v xml:space="preserve"> location: "Riverbank Cave (Know Strength) 👣 💎only"</v>
      </c>
      <c r="H434" t="e">
        <f>" evolve: """&amp;MASTER!#REF!&amp;""" }"</f>
        <v>#REF!</v>
      </c>
      <c r="I434" s="25" t="e">
        <f t="shared" si="15"/>
        <v>#REF!</v>
      </c>
    </row>
    <row r="435" spans="1:9" x14ac:dyDescent="0.2">
      <c r="A435" t="str">
        <f>"{ id: """&amp;MASTER!H436&amp;""""</f>
        <v>{ id: "435"</v>
      </c>
      <c r="B435" t="str">
        <f>" id2: """&amp;MASTER!G436&amp;""""</f>
        <v xml:space="preserve"> id2: "085"</v>
      </c>
      <c r="C435" t="str">
        <f>" name: """&amp;MASTER!B436&amp;""""</f>
        <v xml:space="preserve"> name: "Skuntank"</v>
      </c>
      <c r="D435" t="str">
        <f t="shared" si="14"/>
        <v xml:space="preserve"> img: "skuntank.gif"</v>
      </c>
      <c r="E435" t="str">
        <f>" type1: """&amp;MASTER!C436&amp;""""</f>
        <v xml:space="preserve"> type1: "Poison"</v>
      </c>
      <c r="F435" t="str">
        <f>" type2: """&amp;MASTER!D436&amp;""""</f>
        <v xml:space="preserve"> type2: "Dark"</v>
      </c>
      <c r="G435" t="str">
        <f>" location: """&amp;_xlfn.TEXTJOIN(" ",1,TRIM(MASTER!M436))&amp;""""</f>
        <v xml:space="preserve"> location: "Riverbank Cave (Know Strength) 👣 💎only"</v>
      </c>
      <c r="H435" t="e">
        <f>" evolve: """&amp;MASTER!#REF!&amp;""" }"</f>
        <v>#REF!</v>
      </c>
      <c r="I435" s="25" t="e">
        <f t="shared" si="15"/>
        <v>#REF!</v>
      </c>
    </row>
    <row r="436" spans="1:9" x14ac:dyDescent="0.2">
      <c r="A436" t="str">
        <f>"{ id: """&amp;MASTER!H437&amp;""""</f>
        <v>{ id: "436"</v>
      </c>
      <c r="B436" t="str">
        <f>" id2: """&amp;MASTER!G437&amp;""""</f>
        <v xml:space="preserve"> id2: "088"</v>
      </c>
      <c r="C436" t="str">
        <f>" name: """&amp;MASTER!B437&amp;""""</f>
        <v xml:space="preserve"> name: "Bronzor"</v>
      </c>
      <c r="D436" t="str">
        <f t="shared" si="14"/>
        <v xml:space="preserve"> img: "bronzor.gif"</v>
      </c>
      <c r="E436" t="str">
        <f>" type1: """&amp;MASTER!C437&amp;""""</f>
        <v xml:space="preserve"> type1: "Steel"</v>
      </c>
      <c r="F436" t="str">
        <f>" type2: """&amp;MASTER!D437&amp;""""</f>
        <v xml:space="preserve"> type2: "Psychic"</v>
      </c>
      <c r="G436" t="str">
        <f>" location: """&amp;_xlfn.TEXTJOIN(" ",1,TRIM(MASTER!M437))&amp;""""</f>
        <v xml:space="preserve"> location: "Wayward Cave 1F 👣"</v>
      </c>
      <c r="H436" t="e">
        <f>" evolve: """&amp;MASTER!#REF!&amp;""" }"</f>
        <v>#REF!</v>
      </c>
      <c r="I436" s="25" t="e">
        <f t="shared" si="15"/>
        <v>#REF!</v>
      </c>
    </row>
    <row r="437" spans="1:9" x14ac:dyDescent="0.2">
      <c r="A437" t="str">
        <f>"{ id: """&amp;MASTER!H438&amp;""""</f>
        <v>{ id: "437"</v>
      </c>
      <c r="B437" t="str">
        <f>" id2: """&amp;MASTER!G438&amp;""""</f>
        <v xml:space="preserve"> id2: "089"</v>
      </c>
      <c r="C437" t="str">
        <f>" name: """&amp;MASTER!B438&amp;""""</f>
        <v xml:space="preserve"> name: "Bronzong"</v>
      </c>
      <c r="D437" t="str">
        <f t="shared" si="14"/>
        <v xml:space="preserve"> img: "bronzong.gif"</v>
      </c>
      <c r="E437" t="str">
        <f>" type1: """&amp;MASTER!C438&amp;""""</f>
        <v xml:space="preserve"> type1: "Steel"</v>
      </c>
      <c r="F437" t="str">
        <f>" type2: """&amp;MASTER!D438&amp;""""</f>
        <v xml:space="preserve"> type2: "Psychic"</v>
      </c>
      <c r="G437" t="str">
        <f>" location: """&amp;_xlfn.TEXTJOIN(" ",1,TRIM(MASTER!M438))&amp;""""</f>
        <v xml:space="preserve"> location: "Turnback Cave 👣"</v>
      </c>
      <c r="H437" t="e">
        <f>" evolve: """&amp;MASTER!#REF!&amp;""" }"</f>
        <v>#REF!</v>
      </c>
      <c r="I437" s="25" t="e">
        <f t="shared" si="15"/>
        <v>#REF!</v>
      </c>
    </row>
    <row r="438" spans="1:9" x14ac:dyDescent="0.2">
      <c r="A438" t="str">
        <f>"{ id: """&amp;MASTER!H439&amp;""""</f>
        <v>{ id: "438"</v>
      </c>
      <c r="B438" t="str">
        <f>" id2: """&amp;MASTER!G439&amp;""""</f>
        <v xml:space="preserve"> id2: "092"</v>
      </c>
      <c r="C438" t="str">
        <f>" name: """&amp;MASTER!B439&amp;""""</f>
        <v xml:space="preserve"> name: "Bonsly"</v>
      </c>
      <c r="D438" t="str">
        <f t="shared" si="14"/>
        <v xml:space="preserve"> img: "bonsly.gif"</v>
      </c>
      <c r="E438" t="str">
        <f>" type1: """&amp;MASTER!C439&amp;""""</f>
        <v xml:space="preserve"> type1: "Rock"</v>
      </c>
      <c r="F438" t="str">
        <f>" type2: """&amp;MASTER!D439&amp;""""</f>
        <v xml:space="preserve"> type2: ""</v>
      </c>
      <c r="G438" t="str">
        <f>" location: """&amp;_xlfn.TEXTJOIN(" ",1,TRIM(MASTER!M439))&amp;""""</f>
        <v xml:space="preserve"> location: "Route 209 👣 ⚪only"</v>
      </c>
      <c r="H438" t="e">
        <f>" evolve: """&amp;MASTER!#REF!&amp;""" }"</f>
        <v>#REF!</v>
      </c>
      <c r="I438" s="25" t="e">
        <f t="shared" si="15"/>
        <v>#REF!</v>
      </c>
    </row>
    <row r="439" spans="1:9" x14ac:dyDescent="0.2">
      <c r="A439" t="str">
        <f>"{ id: """&amp;MASTER!H440&amp;""""</f>
        <v>{ id: "439"</v>
      </c>
      <c r="B439" t="str">
        <f>" id2: """&amp;MASTER!G440&amp;""""</f>
        <v xml:space="preserve"> id2: "094"</v>
      </c>
      <c r="C439" t="str">
        <f>" name: """&amp;MASTER!B440&amp;""""</f>
        <v xml:space="preserve"> name: "Mime Jr."</v>
      </c>
      <c r="D439" t="str">
        <f t="shared" si="14"/>
        <v xml:space="preserve"> img: "mime jr..gif"</v>
      </c>
      <c r="E439" t="str">
        <f>" type1: """&amp;MASTER!C440&amp;""""</f>
        <v xml:space="preserve"> type1: "Psychic"</v>
      </c>
      <c r="F439" t="str">
        <f>" type2: """&amp;MASTER!D440&amp;""""</f>
        <v xml:space="preserve"> type2: "Fairy"</v>
      </c>
      <c r="G439" t="str">
        <f>" location: """&amp;_xlfn.TEXTJOIN(" ",1,TRIM(MASTER!M440))&amp;""""</f>
        <v xml:space="preserve"> location: "Route 209 👣 🌅 💎only"</v>
      </c>
      <c r="H439" t="e">
        <f>" evolve: """&amp;MASTER!#REF!&amp;""" }"</f>
        <v>#REF!</v>
      </c>
      <c r="I439" s="25" t="e">
        <f t="shared" si="15"/>
        <v>#REF!</v>
      </c>
    </row>
    <row r="440" spans="1:9" x14ac:dyDescent="0.2">
      <c r="A440" t="str">
        <f>"{ id: """&amp;MASTER!H441&amp;""""</f>
        <v>{ id: "440"</v>
      </c>
      <c r="B440" t="str">
        <f>" id2: """&amp;MASTER!G441&amp;""""</f>
        <v xml:space="preserve"> id2: "096"</v>
      </c>
      <c r="C440" t="str">
        <f>" name: """&amp;MASTER!B441&amp;""""</f>
        <v xml:space="preserve"> name: "Happiny"</v>
      </c>
      <c r="D440" t="str">
        <f t="shared" si="14"/>
        <v xml:space="preserve"> img: "happiny.gif"</v>
      </c>
      <c r="E440" t="str">
        <f>" type1: """&amp;MASTER!C441&amp;""""</f>
        <v xml:space="preserve"> type1: "Normal"</v>
      </c>
      <c r="F440" t="str">
        <f>" type2: """&amp;MASTER!D441&amp;""""</f>
        <v xml:space="preserve"> type2: ""</v>
      </c>
      <c r="G440" t="str">
        <f>" location: """&amp;_xlfn.TEXTJOIN(" ",1,TRIM(MASTER!M441))&amp;""""</f>
        <v xml:space="preserve"> location: "Hearthome City 🎁"</v>
      </c>
      <c r="H440" t="e">
        <f>" evolve: """&amp;MASTER!#REF!&amp;""" }"</f>
        <v>#REF!</v>
      </c>
      <c r="I440" s="25" t="e">
        <f t="shared" si="15"/>
        <v>#REF!</v>
      </c>
    </row>
    <row r="441" spans="1:9" x14ac:dyDescent="0.2">
      <c r="A441" t="str">
        <f>"{ id: """&amp;MASTER!H442&amp;""""</f>
        <v>{ id: "441"</v>
      </c>
      <c r="B441" t="str">
        <f>" id2: """&amp;MASTER!G442&amp;""""</f>
        <v xml:space="preserve"> id2: "102"</v>
      </c>
      <c r="C441" t="str">
        <f>" name: """&amp;MASTER!B442&amp;""""</f>
        <v xml:space="preserve"> name: "Chatot"</v>
      </c>
      <c r="D441" t="str">
        <f t="shared" si="14"/>
        <v xml:space="preserve"> img: "chatot.gif"</v>
      </c>
      <c r="E441" t="str">
        <f>" type1: """&amp;MASTER!C442&amp;""""</f>
        <v xml:space="preserve"> type1: "Normal"</v>
      </c>
      <c r="F441" t="str">
        <f>" type2: """&amp;MASTER!D442&amp;""""</f>
        <v xml:space="preserve"> type2: "Flying"</v>
      </c>
      <c r="G441" t="str">
        <f>" location: """&amp;_xlfn.TEXTJOIN(" ",1,TRIM(MASTER!M442))&amp;""""</f>
        <v xml:space="preserve"> location: "Route 222 👣 20% 🌅🏙️"</v>
      </c>
      <c r="H441" t="e">
        <f>" evolve: """&amp;MASTER!#REF!&amp;""" }"</f>
        <v>#REF!</v>
      </c>
      <c r="I441" s="25" t="e">
        <f t="shared" si="15"/>
        <v>#REF!</v>
      </c>
    </row>
    <row r="442" spans="1:9" x14ac:dyDescent="0.2">
      <c r="A442" t="str">
        <f>"{ id: """&amp;MASTER!H443&amp;""""</f>
        <v>{ id: "442"</v>
      </c>
      <c r="B442" t="str">
        <f>" id2: """&amp;MASTER!G443&amp;""""</f>
        <v xml:space="preserve"> id2: "108"</v>
      </c>
      <c r="C442" t="str">
        <f>" name: """&amp;MASTER!B443&amp;""""</f>
        <v xml:space="preserve"> name: "Spiritomb"</v>
      </c>
      <c r="D442" t="str">
        <f t="shared" si="14"/>
        <v xml:space="preserve"> img: "spiritomb.gif"</v>
      </c>
      <c r="E442" t="str">
        <f>" type1: """&amp;MASTER!C443&amp;""""</f>
        <v xml:space="preserve"> type1: "Ghost"</v>
      </c>
      <c r="F442" t="str">
        <f>" type2: """&amp;MASTER!D443&amp;""""</f>
        <v xml:space="preserve"> type2: "Dark"</v>
      </c>
      <c r="G442" t="str">
        <f>" location: """&amp;_xlfn.TEXTJOIN(" ",1,TRIM(MASTER!M443))&amp;""""</f>
        <v xml:space="preserve"> location: "Hallowed Tower 📍"</v>
      </c>
      <c r="H442" t="e">
        <f>" evolve: """&amp;MASTER!#REF!&amp;""" }"</f>
        <v>#REF!</v>
      </c>
      <c r="I442" s="25" t="e">
        <f t="shared" si="15"/>
        <v>#REF!</v>
      </c>
    </row>
    <row r="443" spans="1:9" x14ac:dyDescent="0.2">
      <c r="A443" t="str">
        <f>"{ id: """&amp;MASTER!H444&amp;""""</f>
        <v>{ id: "443"</v>
      </c>
      <c r="B443" t="str">
        <f>" id2: """&amp;MASTER!G444&amp;""""</f>
        <v xml:space="preserve"> id2: "109"</v>
      </c>
      <c r="C443" t="str">
        <f>" name: """&amp;MASTER!B444&amp;""""</f>
        <v xml:space="preserve"> name: "Gible"</v>
      </c>
      <c r="D443" t="str">
        <f t="shared" si="14"/>
        <v xml:space="preserve"> img: "gible.gif"</v>
      </c>
      <c r="E443" t="str">
        <f>" type1: """&amp;MASTER!C444&amp;""""</f>
        <v xml:space="preserve"> type1: "Dragon"</v>
      </c>
      <c r="F443" t="str">
        <f>" type2: """&amp;MASTER!D444&amp;""""</f>
        <v xml:space="preserve"> type2: "Ground"</v>
      </c>
      <c r="G443" t="str">
        <f>" location: """&amp;_xlfn.TEXTJOIN(" ",1,TRIM(MASTER!M444))&amp;""""</f>
        <v xml:space="preserve"> location: "Wayward Cave B1F 👣 15%"</v>
      </c>
      <c r="H443" t="e">
        <f>" evolve: """&amp;MASTER!#REF!&amp;""" }"</f>
        <v>#REF!</v>
      </c>
      <c r="I443" s="25" t="e">
        <f t="shared" si="15"/>
        <v>#REF!</v>
      </c>
    </row>
    <row r="444" spans="1:9" x14ac:dyDescent="0.2">
      <c r="A444" t="str">
        <f>"{ id: """&amp;MASTER!H445&amp;""""</f>
        <v>{ id: "444"</v>
      </c>
      <c r="B444" t="str">
        <f>" id2: """&amp;MASTER!G445&amp;""""</f>
        <v xml:space="preserve"> id2: "110"</v>
      </c>
      <c r="C444" t="str">
        <f>" name: """&amp;MASTER!B445&amp;""""</f>
        <v xml:space="preserve"> name: "Gabite"</v>
      </c>
      <c r="D444" t="str">
        <f t="shared" si="14"/>
        <v xml:space="preserve"> img: "gabite.gif"</v>
      </c>
      <c r="E444" t="str">
        <f>" type1: """&amp;MASTER!C445&amp;""""</f>
        <v xml:space="preserve"> type1: "Dragon"</v>
      </c>
      <c r="F444" t="str">
        <f>" type2: """&amp;MASTER!D445&amp;""""</f>
        <v xml:space="preserve"> type2: "Ground"</v>
      </c>
      <c r="G444" t="str">
        <f>" location: """&amp;_xlfn.TEXTJOIN(" ",1,TRIM(MASTER!M445))&amp;""""</f>
        <v xml:space="preserve"> location: "Riverbank Cave (Know Waterfall) 👣"</v>
      </c>
      <c r="H444" t="e">
        <f>" evolve: """&amp;MASTER!#REF!&amp;""" }"</f>
        <v>#REF!</v>
      </c>
      <c r="I444" s="25" t="e">
        <f t="shared" si="15"/>
        <v>#REF!</v>
      </c>
    </row>
    <row r="445" spans="1:9" x14ac:dyDescent="0.2">
      <c r="A445" t="str">
        <f>"{ id: """&amp;MASTER!H446&amp;""""</f>
        <v>{ id: "445"</v>
      </c>
      <c r="B445" t="str">
        <f>" id2: """&amp;MASTER!G446&amp;""""</f>
        <v xml:space="preserve"> id2: "111"</v>
      </c>
      <c r="C445" t="str">
        <f>" name: """&amp;MASTER!B446&amp;""""</f>
        <v xml:space="preserve"> name: "Garchomp"</v>
      </c>
      <c r="D445" t="str">
        <f t="shared" si="14"/>
        <v xml:space="preserve"> img: "garchomp.gif"</v>
      </c>
      <c r="E445" t="str">
        <f>" type1: """&amp;MASTER!C446&amp;""""</f>
        <v xml:space="preserve"> type1: "Dragon"</v>
      </c>
      <c r="F445" t="str">
        <f>" type2: """&amp;MASTER!D446&amp;""""</f>
        <v xml:space="preserve"> type2: "Ground"</v>
      </c>
      <c r="G445" t="str">
        <f>" location: """&amp;_xlfn.TEXTJOIN(" ",1,TRIM(MASTER!M446))&amp;""""</f>
        <v xml:space="preserve"> location: "None"</v>
      </c>
      <c r="H445" t="e">
        <f>" evolve: """&amp;MASTER!#REF!&amp;""" }"</f>
        <v>#REF!</v>
      </c>
      <c r="I445" s="25" t="e">
        <f t="shared" si="15"/>
        <v>#REF!</v>
      </c>
    </row>
    <row r="446" spans="1:9" x14ac:dyDescent="0.2">
      <c r="A446" t="str">
        <f>"{ id: """&amp;MASTER!H447&amp;""""</f>
        <v>{ id: "446"</v>
      </c>
      <c r="B446" t="str">
        <f>" id2: """&amp;MASTER!G447&amp;""""</f>
        <v xml:space="preserve"> id2: "112"</v>
      </c>
      <c r="C446" t="str">
        <f>" name: """&amp;MASTER!B447&amp;""""</f>
        <v xml:space="preserve"> name: "Munchlax"</v>
      </c>
      <c r="D446" t="str">
        <f t="shared" si="14"/>
        <v xml:space="preserve"> img: "munchlax.gif"</v>
      </c>
      <c r="E446" t="str">
        <f>" type1: """&amp;MASTER!C447&amp;""""</f>
        <v xml:space="preserve"> type1: "Normal"</v>
      </c>
      <c r="F446" t="str">
        <f>" type2: """&amp;MASTER!D447&amp;""""</f>
        <v xml:space="preserve"> type2: ""</v>
      </c>
      <c r="G446" t="str">
        <f>" location: """&amp;_xlfn.TEXTJOIN(" ",1,TRIM(MASTER!M447))&amp;""""</f>
        <v xml:space="preserve"> location: "Spacious Cave (Know Defog) 👣"</v>
      </c>
      <c r="H446" t="e">
        <f>" evolve: """&amp;MASTER!#REF!&amp;""" }"</f>
        <v>#REF!</v>
      </c>
      <c r="I446" s="25" t="e">
        <f t="shared" si="15"/>
        <v>#REF!</v>
      </c>
    </row>
    <row r="447" spans="1:9" x14ac:dyDescent="0.2">
      <c r="A447" t="str">
        <f>"{ id: """&amp;MASTER!H448&amp;""""</f>
        <v>{ id: "447"</v>
      </c>
      <c r="B447" t="str">
        <f>" id2: """&amp;MASTER!G448&amp;""""</f>
        <v xml:space="preserve"> id2: "115"</v>
      </c>
      <c r="C447" t="str">
        <f>" name: """&amp;MASTER!B448&amp;""""</f>
        <v xml:space="preserve"> name: "Riolu"</v>
      </c>
      <c r="D447" t="str">
        <f t="shared" si="14"/>
        <v xml:space="preserve"> img: "riolu.gif"</v>
      </c>
      <c r="E447" t="str">
        <f>" type1: """&amp;MASTER!C448&amp;""""</f>
        <v xml:space="preserve"> type1: "Fighting"</v>
      </c>
      <c r="F447" t="str">
        <f>" type2: """&amp;MASTER!D448&amp;""""</f>
        <v xml:space="preserve"> type2: ""</v>
      </c>
      <c r="G447" t="str">
        <f>" location: """&amp;_xlfn.TEXTJOIN(" ",1,TRIM(MASTER!M448))&amp;""""</f>
        <v xml:space="preserve"> location: "Iron Island B2F 🎁"</v>
      </c>
      <c r="H447" t="e">
        <f>" evolve: """&amp;MASTER!#REF!&amp;""" }"</f>
        <v>#REF!</v>
      </c>
      <c r="I447" s="25" t="e">
        <f t="shared" si="15"/>
        <v>#REF!</v>
      </c>
    </row>
    <row r="448" spans="1:9" x14ac:dyDescent="0.2">
      <c r="A448" t="str">
        <f>"{ id: """&amp;MASTER!H449&amp;""""</f>
        <v>{ id: "448"</v>
      </c>
      <c r="B448" t="str">
        <f>" id2: """&amp;MASTER!G449&amp;""""</f>
        <v xml:space="preserve"> id2: "116"</v>
      </c>
      <c r="C448" t="str">
        <f>" name: """&amp;MASTER!B449&amp;""""</f>
        <v xml:space="preserve"> name: "Lucario"</v>
      </c>
      <c r="D448" t="str">
        <f t="shared" si="14"/>
        <v xml:space="preserve"> img: "lucario.gif"</v>
      </c>
      <c r="E448" t="str">
        <f>" type1: """&amp;MASTER!C449&amp;""""</f>
        <v xml:space="preserve"> type1: "Fighting"</v>
      </c>
      <c r="F448" t="str">
        <f>" type2: """&amp;MASTER!D449&amp;""""</f>
        <v xml:space="preserve"> type2: "Steel"</v>
      </c>
      <c r="G448" t="str">
        <f>" location: """&amp;_xlfn.TEXTJOIN(" ",1,TRIM(MASTER!M449))&amp;""""</f>
        <v xml:space="preserve"> location: "None"</v>
      </c>
      <c r="H448" t="e">
        <f>" evolve: """&amp;MASTER!#REF!&amp;""" }"</f>
        <v>#REF!</v>
      </c>
      <c r="I448" s="25" t="e">
        <f t="shared" si="15"/>
        <v>#REF!</v>
      </c>
    </row>
    <row r="449" spans="1:9" x14ac:dyDescent="0.2">
      <c r="A449" t="str">
        <f>"{ id: """&amp;MASTER!H450&amp;""""</f>
        <v>{ id: "449"</v>
      </c>
      <c r="B449" t="str">
        <f>" id2: """&amp;MASTER!G450&amp;""""</f>
        <v xml:space="preserve"> id2: "122"</v>
      </c>
      <c r="C449" t="str">
        <f>" name: """&amp;MASTER!B450&amp;""""</f>
        <v xml:space="preserve"> name: "Hippopotas"</v>
      </c>
      <c r="D449" t="str">
        <f t="shared" si="14"/>
        <v xml:space="preserve"> img: "hippopotas.gif"</v>
      </c>
      <c r="E449" t="str">
        <f>" type1: """&amp;MASTER!C450&amp;""""</f>
        <v xml:space="preserve"> type1: "Ground"</v>
      </c>
      <c r="F449" t="str">
        <f>" type2: """&amp;MASTER!D450&amp;""""</f>
        <v xml:space="preserve"> type2: ""</v>
      </c>
      <c r="G449" t="str">
        <f>" location: """&amp;_xlfn.TEXTJOIN(" ",1,TRIM(MASTER!M450))&amp;""""</f>
        <v xml:space="preserve"> location: "Rocky Cave (Know Defog) 👣"</v>
      </c>
      <c r="H449" t="e">
        <f>" evolve: """&amp;MASTER!#REF!&amp;""" }"</f>
        <v>#REF!</v>
      </c>
      <c r="I449" s="25" t="e">
        <f t="shared" si="15"/>
        <v>#REF!</v>
      </c>
    </row>
    <row r="450" spans="1:9" x14ac:dyDescent="0.2">
      <c r="A450" t="str">
        <f>"{ id: """&amp;MASTER!H451&amp;""""</f>
        <v>{ id: "450"</v>
      </c>
      <c r="B450" t="str">
        <f>" id2: """&amp;MASTER!G451&amp;""""</f>
        <v xml:space="preserve"> id2: "123"</v>
      </c>
      <c r="C450" t="str">
        <f>" name: """&amp;MASTER!B451&amp;""""</f>
        <v xml:space="preserve"> name: "Hippowdon"</v>
      </c>
      <c r="D450" t="str">
        <f t="shared" si="14"/>
        <v xml:space="preserve"> img: "hippowdon.gif"</v>
      </c>
      <c r="E450" t="str">
        <f>" type1: """&amp;MASTER!C451&amp;""""</f>
        <v xml:space="preserve"> type1: "Ground"</v>
      </c>
      <c r="F450" t="str">
        <f>" type2: """&amp;MASTER!D451&amp;""""</f>
        <v xml:space="preserve"> type2: ""</v>
      </c>
      <c r="G450" t="str">
        <f>" location: """&amp;_xlfn.TEXTJOIN(" ",1,TRIM(MASTER!M451))&amp;""""</f>
        <v xml:space="preserve"> location: "Route 228 👣 10% 🌅"</v>
      </c>
      <c r="H450" t="e">
        <f>" evolve: """&amp;MASTER!#REF!&amp;""" }"</f>
        <v>#REF!</v>
      </c>
      <c r="I450" s="25" t="e">
        <f t="shared" si="15"/>
        <v>#REF!</v>
      </c>
    </row>
    <row r="451" spans="1:9" x14ac:dyDescent="0.2">
      <c r="A451" t="str">
        <f>"{ id: """&amp;MASTER!H452&amp;""""</f>
        <v>{ id: "451"</v>
      </c>
      <c r="B451" t="str">
        <f>" id2: """&amp;MASTER!G452&amp;""""</f>
        <v xml:space="preserve"> id2: "127"</v>
      </c>
      <c r="C451" t="str">
        <f>" name: """&amp;MASTER!B452&amp;""""</f>
        <v xml:space="preserve"> name: "Skorupi"</v>
      </c>
      <c r="D451" t="str">
        <f t="shared" si="14"/>
        <v xml:space="preserve"> img: "skorupi.gif"</v>
      </c>
      <c r="E451" t="str">
        <f>" type1: """&amp;MASTER!C452&amp;""""</f>
        <v xml:space="preserve"> type1: "Poison"</v>
      </c>
      <c r="F451" t="str">
        <f>" type2: """&amp;MASTER!D452&amp;""""</f>
        <v xml:space="preserve"> type2: "Bug"</v>
      </c>
      <c r="G451" t="str">
        <f>" location: """&amp;_xlfn.TEXTJOIN(" ",1,TRIM(MASTER!M452))&amp;""""</f>
        <v xml:space="preserve"> location: "Rocky Cave 👣"</v>
      </c>
      <c r="H451" t="e">
        <f>" evolve: """&amp;MASTER!#REF!&amp;""" }"</f>
        <v>#REF!</v>
      </c>
      <c r="I451" s="25" t="e">
        <f t="shared" si="15"/>
        <v>#REF!</v>
      </c>
    </row>
    <row r="452" spans="1:9" x14ac:dyDescent="0.2">
      <c r="A452" t="str">
        <f>"{ id: """&amp;MASTER!H453&amp;""""</f>
        <v>{ id: "452"</v>
      </c>
      <c r="B452" t="str">
        <f>" id2: """&amp;MASTER!G453&amp;""""</f>
        <v xml:space="preserve"> id2: "128"</v>
      </c>
      <c r="C452" t="str">
        <f>" name: """&amp;MASTER!B453&amp;""""</f>
        <v xml:space="preserve"> name: "Drapion"</v>
      </c>
      <c r="D452" t="str">
        <f t="shared" si="14"/>
        <v xml:space="preserve"> img: "drapion.gif"</v>
      </c>
      <c r="E452" t="str">
        <f>" type1: """&amp;MASTER!C453&amp;""""</f>
        <v xml:space="preserve"> type1: "Poison"</v>
      </c>
      <c r="F452" t="str">
        <f>" type2: """&amp;MASTER!D453&amp;""""</f>
        <v xml:space="preserve"> type2: "Dark"</v>
      </c>
      <c r="G452" t="str">
        <f>" location: """&amp;_xlfn.TEXTJOIN(" ",1,TRIM(MASTER!M453))&amp;""""</f>
        <v xml:space="preserve"> location: "Great Marsh (Special) 👣 3%"</v>
      </c>
      <c r="H452" t="e">
        <f>" evolve: """&amp;MASTER!#REF!&amp;""" }"</f>
        <v>#REF!</v>
      </c>
      <c r="I452" s="25" t="e">
        <f t="shared" si="15"/>
        <v>#REF!</v>
      </c>
    </row>
    <row r="453" spans="1:9" x14ac:dyDescent="0.2">
      <c r="A453" t="str">
        <f>"{ id: """&amp;MASTER!H454&amp;""""</f>
        <v>{ id: "453"</v>
      </c>
      <c r="B453" t="str">
        <f>" id2: """&amp;MASTER!G454&amp;""""</f>
        <v xml:space="preserve"> id2: "129"</v>
      </c>
      <c r="C453" t="str">
        <f>" name: """&amp;MASTER!B454&amp;""""</f>
        <v xml:space="preserve"> name: "Croagunk"</v>
      </c>
      <c r="D453" t="str">
        <f t="shared" si="14"/>
        <v xml:space="preserve"> img: "croagunk.gif"</v>
      </c>
      <c r="E453" t="str">
        <f>" type1: """&amp;MASTER!C454&amp;""""</f>
        <v xml:space="preserve"> type1: "Poison"</v>
      </c>
      <c r="F453" t="str">
        <f>" type2: """&amp;MASTER!D454&amp;""""</f>
        <v xml:space="preserve"> type2: "Fighting"</v>
      </c>
      <c r="G453" t="str">
        <f>" location: """&amp;_xlfn.TEXTJOIN(" ",1,TRIM(MASTER!M454))&amp;""""</f>
        <v xml:space="preserve"> location: "Swampy Cave 👣"</v>
      </c>
      <c r="H453" t="e">
        <f>" evolve: """&amp;MASTER!#REF!&amp;""" }"</f>
        <v>#REF!</v>
      </c>
      <c r="I453" s="25" t="e">
        <f t="shared" si="15"/>
        <v>#REF!</v>
      </c>
    </row>
    <row r="454" spans="1:9" x14ac:dyDescent="0.2">
      <c r="A454" t="str">
        <f>"{ id: """&amp;MASTER!H455&amp;""""</f>
        <v>{ id: "454"</v>
      </c>
      <c r="B454" t="str">
        <f>" id2: """&amp;MASTER!G455&amp;""""</f>
        <v xml:space="preserve"> id2: "130"</v>
      </c>
      <c r="C454" t="str">
        <f>" name: """&amp;MASTER!B455&amp;""""</f>
        <v xml:space="preserve"> name: "Toxicroak"</v>
      </c>
      <c r="D454" t="str">
        <f t="shared" si="14"/>
        <v xml:space="preserve"> img: "toxicroak.gif"</v>
      </c>
      <c r="E454" t="str">
        <f>" type1: """&amp;MASTER!C455&amp;""""</f>
        <v xml:space="preserve"> type1: "Poison"</v>
      </c>
      <c r="F454" t="str">
        <f>" type2: """&amp;MASTER!D455&amp;""""</f>
        <v xml:space="preserve"> type2: "Fighting"</v>
      </c>
      <c r="G454" t="str">
        <f>" location: """&amp;_xlfn.TEXTJOIN(" ",1,TRIM(MASTER!M455))&amp;""""</f>
        <v xml:space="preserve"> location: "Great Marsh (Special) 👣 3%"</v>
      </c>
      <c r="H454" t="e">
        <f>" evolve: """&amp;MASTER!#REF!&amp;""" }"</f>
        <v>#REF!</v>
      </c>
      <c r="I454" s="25" t="e">
        <f t="shared" si="15"/>
        <v>#REF!</v>
      </c>
    </row>
    <row r="455" spans="1:9" x14ac:dyDescent="0.2">
      <c r="A455" t="str">
        <f>"{ id: """&amp;MASTER!H456&amp;""""</f>
        <v>{ id: "455"</v>
      </c>
      <c r="B455" t="str">
        <f>" id2: """&amp;MASTER!G456&amp;""""</f>
        <v xml:space="preserve"> id2: "131"</v>
      </c>
      <c r="C455" t="str">
        <f>" name: """&amp;MASTER!B456&amp;""""</f>
        <v xml:space="preserve"> name: "Carnivine"</v>
      </c>
      <c r="D455" t="str">
        <f t="shared" si="14"/>
        <v xml:space="preserve"> img: "carnivine.gif"</v>
      </c>
      <c r="E455" t="str">
        <f>" type1: """&amp;MASTER!C456&amp;""""</f>
        <v xml:space="preserve"> type1: "Grass"</v>
      </c>
      <c r="F455" t="str">
        <f>" type2: """&amp;MASTER!D456&amp;""""</f>
        <v xml:space="preserve"> type2: ""</v>
      </c>
      <c r="G455" t="str">
        <f>" location: """&amp;_xlfn.TEXTJOIN(" ",1,TRIM(MASTER!M456))&amp;""""</f>
        <v xml:space="preserve"> location: "Great Marsh (Special) 👣 15%"</v>
      </c>
      <c r="H455" t="e">
        <f>" evolve: """&amp;MASTER!#REF!&amp;""" }"</f>
        <v>#REF!</v>
      </c>
      <c r="I455" s="25" t="e">
        <f t="shared" si="15"/>
        <v>#REF!</v>
      </c>
    </row>
    <row r="456" spans="1:9" x14ac:dyDescent="0.2">
      <c r="A456" t="str">
        <f>"{ id: """&amp;MASTER!H457&amp;""""</f>
        <v>{ id: "456"</v>
      </c>
      <c r="B456" t="str">
        <f>" id2: """&amp;MASTER!G457&amp;""""</f>
        <v xml:space="preserve"> id2: "134"</v>
      </c>
      <c r="C456" t="str">
        <f>" name: """&amp;MASTER!B457&amp;""""</f>
        <v xml:space="preserve"> name: "Finneon"</v>
      </c>
      <c r="D456" t="str">
        <f t="shared" si="14"/>
        <v xml:space="preserve"> img: "finneon.gif"</v>
      </c>
      <c r="E456" t="str">
        <f>" type1: """&amp;MASTER!C457&amp;""""</f>
        <v xml:space="preserve"> type1: "Water"</v>
      </c>
      <c r="F456" t="str">
        <f>" type2: """&amp;MASTER!D457&amp;""""</f>
        <v xml:space="preserve"> type2: ""</v>
      </c>
      <c r="G456" t="str">
        <f>" location: """&amp;_xlfn.TEXTJOIN(" ",1,TRIM(MASTER!M457))&amp;""""</f>
        <v xml:space="preserve"> location: "Canalave City 🎣Good"</v>
      </c>
      <c r="H456" t="e">
        <f>" evolve: """&amp;MASTER!#REF!&amp;""" }"</f>
        <v>#REF!</v>
      </c>
      <c r="I456" s="25" t="e">
        <f t="shared" si="15"/>
        <v>#REF!</v>
      </c>
    </row>
    <row r="457" spans="1:9" x14ac:dyDescent="0.2">
      <c r="A457" t="str">
        <f>"{ id: """&amp;MASTER!H458&amp;""""</f>
        <v>{ id: "457"</v>
      </c>
      <c r="B457" t="str">
        <f>" id2: """&amp;MASTER!G458&amp;""""</f>
        <v xml:space="preserve"> id2: "135"</v>
      </c>
      <c r="C457" t="str">
        <f>" name: """&amp;MASTER!B458&amp;""""</f>
        <v xml:space="preserve"> name: "Lumineon"</v>
      </c>
      <c r="D457" t="str">
        <f t="shared" si="14"/>
        <v xml:space="preserve"> img: "lumineon.gif"</v>
      </c>
      <c r="E457" t="str">
        <f>" type1: """&amp;MASTER!C458&amp;""""</f>
        <v xml:space="preserve"> type1: "Water"</v>
      </c>
      <c r="F457" t="str">
        <f>" type2: """&amp;MASTER!D458&amp;""""</f>
        <v xml:space="preserve"> type2: ""</v>
      </c>
      <c r="G457" t="str">
        <f>" location: """&amp;_xlfn.TEXTJOIN(" ",1,TRIM(MASTER!M458))&amp;""""</f>
        <v xml:space="preserve"> location: "Canalave City 🎣Super"</v>
      </c>
      <c r="H457" t="e">
        <f>" evolve: """&amp;MASTER!#REF!&amp;""" }"</f>
        <v>#REF!</v>
      </c>
      <c r="I457" s="25" t="e">
        <f t="shared" si="15"/>
        <v>#REF!</v>
      </c>
    </row>
    <row r="458" spans="1:9" x14ac:dyDescent="0.2">
      <c r="A458" t="str">
        <f>"{ id: """&amp;MASTER!H459&amp;""""</f>
        <v>{ id: "458"</v>
      </c>
      <c r="B458" t="str">
        <f>" id2: """&amp;MASTER!G459&amp;""""</f>
        <v xml:space="preserve"> id2: "140"</v>
      </c>
      <c r="C458" t="str">
        <f>" name: """&amp;MASTER!B459&amp;""""</f>
        <v xml:space="preserve"> name: "Mantyke"</v>
      </c>
      <c r="D458" t="str">
        <f t="shared" si="14"/>
        <v xml:space="preserve"> img: "mantyke.gif"</v>
      </c>
      <c r="E458" t="str">
        <f>" type1: """&amp;MASTER!C459&amp;""""</f>
        <v xml:space="preserve"> type1: "Water"</v>
      </c>
      <c r="F458" t="str">
        <f>" type2: """&amp;MASTER!D459&amp;""""</f>
        <v xml:space="preserve"> type2: "Flying"</v>
      </c>
      <c r="G458" t="str">
        <f>" location: """&amp;_xlfn.TEXTJOIN(" ",1,TRIM(MASTER!M459))&amp;""""</f>
        <v xml:space="preserve"> location: "Riverbank Cave (Know Waterfall) 👣"</v>
      </c>
      <c r="H458" t="e">
        <f>" evolve: """&amp;MASTER!#REF!&amp;""" }"</f>
        <v>#REF!</v>
      </c>
      <c r="I458" s="25" t="e">
        <f t="shared" si="15"/>
        <v>#REF!</v>
      </c>
    </row>
    <row r="459" spans="1:9" x14ac:dyDescent="0.2">
      <c r="A459" t="str">
        <f>"{ id: """&amp;MASTER!H460&amp;""""</f>
        <v>{ id: "459"</v>
      </c>
      <c r="B459" t="str">
        <f>" id2: """&amp;MASTER!G460&amp;""""</f>
        <v xml:space="preserve"> id2: "142"</v>
      </c>
      <c r="C459" t="str">
        <f>" name: """&amp;MASTER!B460&amp;""""</f>
        <v xml:space="preserve"> name: "Snover"</v>
      </c>
      <c r="D459" t="str">
        <f t="shared" si="14"/>
        <v xml:space="preserve"> img: "snover.gif"</v>
      </c>
      <c r="E459" t="str">
        <f>" type1: """&amp;MASTER!C460&amp;""""</f>
        <v xml:space="preserve"> type1: "Grass"</v>
      </c>
      <c r="F459" t="str">
        <f>" type2: """&amp;MASTER!D460&amp;""""</f>
        <v xml:space="preserve"> type2: "Ice"</v>
      </c>
      <c r="G459" t="str">
        <f>" location: """&amp;_xlfn.TEXTJOIN(" ",1,TRIM(MASTER!M460))&amp;""""</f>
        <v xml:space="preserve"> location: "Mt. Coronet Mountainside 👣 20%"</v>
      </c>
      <c r="H459" t="e">
        <f>" evolve: """&amp;MASTER!#REF!&amp;""" }"</f>
        <v>#REF!</v>
      </c>
      <c r="I459" s="25" t="e">
        <f t="shared" si="15"/>
        <v>#REF!</v>
      </c>
    </row>
    <row r="460" spans="1:9" x14ac:dyDescent="0.2">
      <c r="A460" t="str">
        <f>"{ id: """&amp;MASTER!H461&amp;""""</f>
        <v>{ id: "460"</v>
      </c>
      <c r="B460" t="str">
        <f>" id2: """&amp;MASTER!G461&amp;""""</f>
        <v xml:space="preserve"> id2: "143"</v>
      </c>
      <c r="C460" t="str">
        <f>" name: """&amp;MASTER!B461&amp;""""</f>
        <v xml:space="preserve"> name: "Abomasnow"</v>
      </c>
      <c r="D460" t="str">
        <f t="shared" si="14"/>
        <v xml:space="preserve"> img: "abomasnow.gif"</v>
      </c>
      <c r="E460" t="str">
        <f>" type1: """&amp;MASTER!C461&amp;""""</f>
        <v xml:space="preserve"> type1: "Grass"</v>
      </c>
      <c r="F460" t="str">
        <f>" type2: """&amp;MASTER!D461&amp;""""</f>
        <v xml:space="preserve"> type2: "Ice"</v>
      </c>
      <c r="G460" t="str">
        <f>" location: """&amp;_xlfn.TEXTJOIN(" ",1,TRIM(MASTER!M461))&amp;""""</f>
        <v xml:space="preserve"> location: "Mt. Coronet Mountainside 👣 20%"</v>
      </c>
      <c r="H460" t="e">
        <f>" evolve: """&amp;MASTER!#REF!&amp;""" }"</f>
        <v>#REF!</v>
      </c>
      <c r="I460" s="25" t="e">
        <f t="shared" si="15"/>
        <v>#REF!</v>
      </c>
    </row>
    <row r="461" spans="1:9" x14ac:dyDescent="0.2">
      <c r="A461" t="str">
        <f>"{ id: """&amp;MASTER!H462&amp;""""</f>
        <v>{ id: "461"</v>
      </c>
      <c r="B461" t="str">
        <f>" id2: """&amp;MASTER!G462&amp;""""</f>
        <v xml:space="preserve"> id2: "145"</v>
      </c>
      <c r="C461" t="str">
        <f>" name: """&amp;MASTER!B462&amp;""""</f>
        <v xml:space="preserve"> name: "Weavile"</v>
      </c>
      <c r="D461" t="str">
        <f t="shared" si="14"/>
        <v xml:space="preserve"> img: "weavile.gif"</v>
      </c>
      <c r="E461" t="str">
        <f>" type1: """&amp;MASTER!C462&amp;""""</f>
        <v xml:space="preserve"> type1: "Dark"</v>
      </c>
      <c r="F461" t="str">
        <f>" type2: """&amp;MASTER!D462&amp;""""</f>
        <v xml:space="preserve"> type2: "Ice"</v>
      </c>
      <c r="G461" t="str">
        <f>" location: """&amp;_xlfn.TEXTJOIN(" ",1,TRIM(MASTER!M462))&amp;""""</f>
        <v xml:space="preserve"> location: "None"</v>
      </c>
      <c r="H461" t="e">
        <f>" evolve: """&amp;MASTER!#REF!&amp;""" }"</f>
        <v>#REF!</v>
      </c>
      <c r="I461" s="25" t="e">
        <f t="shared" si="15"/>
        <v>#REF!</v>
      </c>
    </row>
    <row r="462" spans="1:9" x14ac:dyDescent="0.2">
      <c r="A462" t="str">
        <f>"{ id: """&amp;MASTER!H463&amp;""""</f>
        <v>{ id: "462"</v>
      </c>
      <c r="B462" t="str">
        <f>" id2: """&amp;MASTER!G463&amp;""""</f>
        <v xml:space="preserve"> id2: ""</v>
      </c>
      <c r="C462" t="str">
        <f>" name: """&amp;MASTER!B463&amp;""""</f>
        <v xml:space="preserve"> name: "Magnezone"</v>
      </c>
      <c r="D462" t="str">
        <f t="shared" si="14"/>
        <v xml:space="preserve"> img: "magnezone.gif"</v>
      </c>
      <c r="E462" t="str">
        <f>" type1: """&amp;MASTER!C463&amp;""""</f>
        <v xml:space="preserve"> type1: "Electric"</v>
      </c>
      <c r="F462" t="str">
        <f>" type2: """&amp;MASTER!D463&amp;""""</f>
        <v xml:space="preserve"> type2: "Steel"</v>
      </c>
      <c r="G462" t="str">
        <f>" location: """&amp;_xlfn.TEXTJOIN(" ",1,TRIM(MASTER!M463))&amp;""""</f>
        <v xml:space="preserve"> location: "None"</v>
      </c>
      <c r="H462" t="e">
        <f>" evolve: """&amp;MASTER!#REF!&amp;""" }"</f>
        <v>#REF!</v>
      </c>
      <c r="I462" s="25" t="e">
        <f t="shared" si="15"/>
        <v>#REF!</v>
      </c>
    </row>
    <row r="463" spans="1:9" x14ac:dyDescent="0.2">
      <c r="A463" t="str">
        <f>"{ id: """&amp;MASTER!H464&amp;""""</f>
        <v>{ id: "463"</v>
      </c>
      <c r="B463" t="str">
        <f>" id2: """&amp;MASTER!G464&amp;""""</f>
        <v xml:space="preserve"> id2: ""</v>
      </c>
      <c r="C463" t="str">
        <f>" name: """&amp;MASTER!B464&amp;""""</f>
        <v xml:space="preserve"> name: "Lickilicky"</v>
      </c>
      <c r="D463" t="str">
        <f t="shared" si="14"/>
        <v xml:space="preserve"> img: "lickilicky.gif"</v>
      </c>
      <c r="E463" t="str">
        <f>" type1: """&amp;MASTER!C464&amp;""""</f>
        <v xml:space="preserve"> type1: "Normal"</v>
      </c>
      <c r="F463" t="str">
        <f>" type2: """&amp;MASTER!D464&amp;""""</f>
        <v xml:space="preserve"> type2: ""</v>
      </c>
      <c r="G463" t="str">
        <f>" location: """&amp;_xlfn.TEXTJOIN(" ",1,TRIM(MASTER!M464))&amp;""""</f>
        <v xml:space="preserve"> location: "None"</v>
      </c>
      <c r="H463" t="e">
        <f>" evolve: """&amp;MASTER!#REF!&amp;""" }"</f>
        <v>#REF!</v>
      </c>
      <c r="I463" s="25" t="e">
        <f t="shared" si="15"/>
        <v>#REF!</v>
      </c>
    </row>
    <row r="464" spans="1:9" x14ac:dyDescent="0.2">
      <c r="A464" t="str">
        <f>"{ id: """&amp;MASTER!H465&amp;""""</f>
        <v>{ id: "464"</v>
      </c>
      <c r="B464" t="str">
        <f>" id2: """&amp;MASTER!G465&amp;""""</f>
        <v xml:space="preserve"> id2: ""</v>
      </c>
      <c r="C464" t="str">
        <f>" name: """&amp;MASTER!B465&amp;""""</f>
        <v xml:space="preserve"> name: "Rhyperior"</v>
      </c>
      <c r="D464" t="str">
        <f t="shared" si="14"/>
        <v xml:space="preserve"> img: "rhyperior.gif"</v>
      </c>
      <c r="E464" t="str">
        <f>" type1: """&amp;MASTER!C465&amp;""""</f>
        <v xml:space="preserve"> type1: "Ground"</v>
      </c>
      <c r="F464" t="str">
        <f>" type2: """&amp;MASTER!D465&amp;""""</f>
        <v xml:space="preserve"> type2: "Rock"</v>
      </c>
      <c r="G464" t="str">
        <f>" location: """&amp;_xlfn.TEXTJOIN(" ",1,TRIM(MASTER!M465))&amp;""""</f>
        <v xml:space="preserve"> location: "None"</v>
      </c>
      <c r="H464" t="e">
        <f>" evolve: """&amp;MASTER!#REF!&amp;""" }"</f>
        <v>#REF!</v>
      </c>
      <c r="I464" s="25" t="e">
        <f t="shared" si="15"/>
        <v>#REF!</v>
      </c>
    </row>
    <row r="465" spans="1:9" x14ac:dyDescent="0.2">
      <c r="A465" t="str">
        <f>"{ id: """&amp;MASTER!H466&amp;""""</f>
        <v>{ id: "465"</v>
      </c>
      <c r="B465" t="str">
        <f>" id2: """&amp;MASTER!G466&amp;""""</f>
        <v xml:space="preserve"> id2: ""</v>
      </c>
      <c r="C465" t="str">
        <f>" name: """&amp;MASTER!B466&amp;""""</f>
        <v xml:space="preserve"> name: "Tangrowth"</v>
      </c>
      <c r="D465" t="str">
        <f t="shared" ref="D465:D493" si="16">" img: """&amp;LOWER(MID(C465,9,LEN(C465)-9))&amp;".gif"""</f>
        <v xml:space="preserve"> img: "tangrowth.gif"</v>
      </c>
      <c r="E465" t="str">
        <f>" type1: """&amp;MASTER!C466&amp;""""</f>
        <v xml:space="preserve"> type1: "Grass"</v>
      </c>
      <c r="F465" t="str">
        <f>" type2: """&amp;MASTER!D466&amp;""""</f>
        <v xml:space="preserve"> type2: ""</v>
      </c>
      <c r="G465" t="str">
        <f>" location: """&amp;_xlfn.TEXTJOIN(" ",1,TRIM(MASTER!M466))&amp;""""</f>
        <v xml:space="preserve"> location: "Swampy Cave 👣"</v>
      </c>
      <c r="H465" t="e">
        <f>" evolve: """&amp;MASTER!#REF!&amp;""" }"</f>
        <v>#REF!</v>
      </c>
      <c r="I465" s="25" t="e">
        <f t="shared" ref="I465:I493" si="17">_xlfn.TEXTJOIN(",",1,A465:H465)&amp;","</f>
        <v>#REF!</v>
      </c>
    </row>
    <row r="466" spans="1:9" x14ac:dyDescent="0.2">
      <c r="A466" t="str">
        <f>"{ id: """&amp;MASTER!H467&amp;""""</f>
        <v>{ id: "466"</v>
      </c>
      <c r="B466" t="str">
        <f>" id2: """&amp;MASTER!G467&amp;""""</f>
        <v xml:space="preserve"> id2: ""</v>
      </c>
      <c r="C466" t="str">
        <f>" name: """&amp;MASTER!B467&amp;""""</f>
        <v xml:space="preserve"> name: "Electivire"</v>
      </c>
      <c r="D466" t="str">
        <f t="shared" si="16"/>
        <v xml:space="preserve"> img: "electivire.gif"</v>
      </c>
      <c r="E466" t="str">
        <f>" type1: """&amp;MASTER!C467&amp;""""</f>
        <v xml:space="preserve"> type1: "Electric"</v>
      </c>
      <c r="F466" t="str">
        <f>" type2: """&amp;MASTER!D467&amp;""""</f>
        <v xml:space="preserve"> type2: ""</v>
      </c>
      <c r="G466" t="str">
        <f>" location: """&amp;_xlfn.TEXTJOIN(" ",1,TRIM(MASTER!M467))&amp;""""</f>
        <v xml:space="preserve"> location: "None"</v>
      </c>
      <c r="H466" t="e">
        <f>" evolve: """&amp;MASTER!#REF!&amp;""" }"</f>
        <v>#REF!</v>
      </c>
      <c r="I466" s="25" t="e">
        <f t="shared" si="17"/>
        <v>#REF!</v>
      </c>
    </row>
    <row r="467" spans="1:9" x14ac:dyDescent="0.2">
      <c r="A467" t="str">
        <f>"{ id: """&amp;MASTER!H468&amp;""""</f>
        <v>{ id: "467"</v>
      </c>
      <c r="B467" t="str">
        <f>" id2: """&amp;MASTER!G468&amp;""""</f>
        <v xml:space="preserve"> id2: ""</v>
      </c>
      <c r="C467" t="str">
        <f>" name: """&amp;MASTER!B468&amp;""""</f>
        <v xml:space="preserve"> name: "Magmortar"</v>
      </c>
      <c r="D467" t="str">
        <f t="shared" si="16"/>
        <v xml:space="preserve"> img: "magmortar.gif"</v>
      </c>
      <c r="E467" t="str">
        <f>" type1: """&amp;MASTER!C468&amp;""""</f>
        <v xml:space="preserve"> type1: "Fire"</v>
      </c>
      <c r="F467" t="str">
        <f>" type2: """&amp;MASTER!D468&amp;""""</f>
        <v xml:space="preserve"> type2: ""</v>
      </c>
      <c r="G467" t="str">
        <f>" location: """&amp;_xlfn.TEXTJOIN(" ",1,TRIM(MASTER!M468))&amp;""""</f>
        <v xml:space="preserve"> location: "None"</v>
      </c>
      <c r="H467" t="e">
        <f>" evolve: """&amp;MASTER!#REF!&amp;""" }"</f>
        <v>#REF!</v>
      </c>
      <c r="I467" s="25" t="e">
        <f t="shared" si="17"/>
        <v>#REF!</v>
      </c>
    </row>
    <row r="468" spans="1:9" x14ac:dyDescent="0.2">
      <c r="A468" t="str">
        <f>"{ id: """&amp;MASTER!H469&amp;""""</f>
        <v>{ id: "468"</v>
      </c>
      <c r="B468" t="str">
        <f>" id2: """&amp;MASTER!G469&amp;""""</f>
        <v xml:space="preserve"> id2: ""</v>
      </c>
      <c r="C468" t="str">
        <f>" name: """&amp;MASTER!B469&amp;""""</f>
        <v xml:space="preserve"> name: "Togekiss"</v>
      </c>
      <c r="D468" t="str">
        <f t="shared" si="16"/>
        <v xml:space="preserve"> img: "togekiss.gif"</v>
      </c>
      <c r="E468" t="str">
        <f>" type1: """&amp;MASTER!C469&amp;""""</f>
        <v xml:space="preserve"> type1: "Fairy"</v>
      </c>
      <c r="F468" t="str">
        <f>" type2: """&amp;MASTER!D469&amp;""""</f>
        <v xml:space="preserve"> type2: "Flying"</v>
      </c>
      <c r="G468" t="str">
        <f>" location: """&amp;_xlfn.TEXTJOIN(" ",1,TRIM(MASTER!M469))&amp;""""</f>
        <v xml:space="preserve"> location: "None"</v>
      </c>
      <c r="H468" t="e">
        <f>" evolve: """&amp;MASTER!#REF!&amp;""" }"</f>
        <v>#REF!</v>
      </c>
      <c r="I468" s="25" t="e">
        <f t="shared" si="17"/>
        <v>#REF!</v>
      </c>
    </row>
    <row r="469" spans="1:9" x14ac:dyDescent="0.2">
      <c r="A469" t="str">
        <f>"{ id: """&amp;MASTER!H470&amp;""""</f>
        <v>{ id: "469"</v>
      </c>
      <c r="B469" t="str">
        <f>" id2: """&amp;MASTER!G470&amp;""""</f>
        <v xml:space="preserve"> id2: ""</v>
      </c>
      <c r="C469" t="str">
        <f>" name: """&amp;MASTER!B470&amp;""""</f>
        <v xml:space="preserve"> name: "Yanmega"</v>
      </c>
      <c r="D469" t="str">
        <f t="shared" si="16"/>
        <v xml:space="preserve"> img: "yanmega.gif"</v>
      </c>
      <c r="E469" t="str">
        <f>" type1: """&amp;MASTER!C470&amp;""""</f>
        <v xml:space="preserve"> type1: "Bug"</v>
      </c>
      <c r="F469" t="str">
        <f>" type2: """&amp;MASTER!D470&amp;""""</f>
        <v xml:space="preserve"> type2: "Flying"</v>
      </c>
      <c r="G469" t="str">
        <f>" location: """&amp;_xlfn.TEXTJOIN(" ",1,TRIM(MASTER!M470))&amp;""""</f>
        <v xml:space="preserve"> location: "None"</v>
      </c>
      <c r="H469" t="e">
        <f>" evolve: """&amp;MASTER!#REF!&amp;""" }"</f>
        <v>#REF!</v>
      </c>
      <c r="I469" s="25" t="e">
        <f t="shared" si="17"/>
        <v>#REF!</v>
      </c>
    </row>
    <row r="470" spans="1:9" x14ac:dyDescent="0.2">
      <c r="A470" t="str">
        <f>"{ id: """&amp;MASTER!H471&amp;""""</f>
        <v>{ id: "470"</v>
      </c>
      <c r="B470" t="str">
        <f>" id2: """&amp;MASTER!G471&amp;""""</f>
        <v xml:space="preserve"> id2: ""</v>
      </c>
      <c r="C470" t="str">
        <f>" name: """&amp;MASTER!B471&amp;""""</f>
        <v xml:space="preserve"> name: "Leafeon"</v>
      </c>
      <c r="D470" t="str">
        <f t="shared" si="16"/>
        <v xml:space="preserve"> img: "leafeon.gif"</v>
      </c>
      <c r="E470" t="str">
        <f>" type1: """&amp;MASTER!C471&amp;""""</f>
        <v xml:space="preserve"> type1: "Grass"</v>
      </c>
      <c r="F470" t="str">
        <f>" type2: """&amp;MASTER!D471&amp;""""</f>
        <v xml:space="preserve"> type2: ""</v>
      </c>
      <c r="G470" t="str">
        <f>" location: """&amp;_xlfn.TEXTJOIN(" ",1,TRIM(MASTER!M471))&amp;""""</f>
        <v xml:space="preserve"> location: "None"</v>
      </c>
      <c r="H470" t="e">
        <f>" evolve: """&amp;MASTER!#REF!&amp;""" }"</f>
        <v>#REF!</v>
      </c>
      <c r="I470" s="25" t="e">
        <f t="shared" si="17"/>
        <v>#REF!</v>
      </c>
    </row>
    <row r="471" spans="1:9" x14ac:dyDescent="0.2">
      <c r="A471" t="str">
        <f>"{ id: """&amp;MASTER!H472&amp;""""</f>
        <v>{ id: "471"</v>
      </c>
      <c r="B471" t="str">
        <f>" id2: """&amp;MASTER!G472&amp;""""</f>
        <v xml:space="preserve"> id2: ""</v>
      </c>
      <c r="C471" t="str">
        <f>" name: """&amp;MASTER!B472&amp;""""</f>
        <v xml:space="preserve"> name: "Glaceon"</v>
      </c>
      <c r="D471" t="str">
        <f t="shared" si="16"/>
        <v xml:space="preserve"> img: "glaceon.gif"</v>
      </c>
      <c r="E471" t="str">
        <f>" type1: """&amp;MASTER!C472&amp;""""</f>
        <v xml:space="preserve"> type1: "Ice"</v>
      </c>
      <c r="F471" t="str">
        <f>" type2: """&amp;MASTER!D472&amp;""""</f>
        <v xml:space="preserve"> type2: ""</v>
      </c>
      <c r="G471" t="str">
        <f>" location: """&amp;_xlfn.TEXTJOIN(" ",1,TRIM(MASTER!M472))&amp;""""</f>
        <v xml:space="preserve"> location: "None"</v>
      </c>
      <c r="H471" t="e">
        <f>" evolve: """&amp;MASTER!#REF!&amp;""" }"</f>
        <v>#REF!</v>
      </c>
      <c r="I471" s="25" t="e">
        <f t="shared" si="17"/>
        <v>#REF!</v>
      </c>
    </row>
    <row r="472" spans="1:9" x14ac:dyDescent="0.2">
      <c r="A472" t="str">
        <f>"{ id: """&amp;MASTER!H473&amp;""""</f>
        <v>{ id: "472"</v>
      </c>
      <c r="B472" t="str">
        <f>" id2: """&amp;MASTER!G473&amp;""""</f>
        <v xml:space="preserve"> id2: ""</v>
      </c>
      <c r="C472" t="str">
        <f>" name: """&amp;MASTER!B473&amp;""""</f>
        <v xml:space="preserve"> name: "Gliscor"</v>
      </c>
      <c r="D472" t="str">
        <f t="shared" si="16"/>
        <v xml:space="preserve"> img: "gliscor.gif"</v>
      </c>
      <c r="E472" t="str">
        <f>" type1: """&amp;MASTER!C473&amp;""""</f>
        <v xml:space="preserve"> type1: "Ground"</v>
      </c>
      <c r="F472" t="str">
        <f>" type2: """&amp;MASTER!D473&amp;""""</f>
        <v xml:space="preserve"> type2: "Flying"</v>
      </c>
      <c r="G472" t="str">
        <f>" location: """&amp;_xlfn.TEXTJOIN(" ",1,TRIM(MASTER!M473))&amp;""""</f>
        <v xml:space="preserve"> location: "None"</v>
      </c>
      <c r="H472" t="e">
        <f>" evolve: """&amp;MASTER!#REF!&amp;""" }"</f>
        <v>#REF!</v>
      </c>
      <c r="I472" s="25" t="e">
        <f t="shared" si="17"/>
        <v>#REF!</v>
      </c>
    </row>
    <row r="473" spans="1:9" x14ac:dyDescent="0.2">
      <c r="A473" t="str">
        <f>"{ id: """&amp;MASTER!H474&amp;""""</f>
        <v>{ id: "473"</v>
      </c>
      <c r="B473" t="str">
        <f>" id2: """&amp;MASTER!G474&amp;""""</f>
        <v xml:space="preserve"> id2: ""</v>
      </c>
      <c r="C473" t="str">
        <f>" name: """&amp;MASTER!B474&amp;""""</f>
        <v xml:space="preserve"> name: "Mamoswine"</v>
      </c>
      <c r="D473" t="str">
        <f t="shared" si="16"/>
        <v xml:space="preserve"> img: "mamoswine.gif"</v>
      </c>
      <c r="E473" t="str">
        <f>" type1: """&amp;MASTER!C474&amp;""""</f>
        <v xml:space="preserve"> type1: "Ice"</v>
      </c>
      <c r="F473" t="str">
        <f>" type2: """&amp;MASTER!D474&amp;""""</f>
        <v xml:space="preserve"> type2: "Ground"</v>
      </c>
      <c r="G473" t="str">
        <f>" location: """&amp;_xlfn.TEXTJOIN(" ",1,TRIM(MASTER!M474))&amp;""""</f>
        <v xml:space="preserve"> location: "None"</v>
      </c>
      <c r="H473" t="e">
        <f>" evolve: """&amp;MASTER!#REF!&amp;""" }"</f>
        <v>#REF!</v>
      </c>
      <c r="I473" s="25" t="e">
        <f t="shared" si="17"/>
        <v>#REF!</v>
      </c>
    </row>
    <row r="474" spans="1:9" x14ac:dyDescent="0.2">
      <c r="A474" t="str">
        <f>"{ id: """&amp;MASTER!H475&amp;""""</f>
        <v>{ id: "474"</v>
      </c>
      <c r="B474" t="str">
        <f>" id2: """&amp;MASTER!G475&amp;""""</f>
        <v xml:space="preserve"> id2: ""</v>
      </c>
      <c r="C474" t="str">
        <f>" name: """&amp;MASTER!B475&amp;""""</f>
        <v xml:space="preserve"> name: "Porygon-Z"</v>
      </c>
      <c r="D474" t="str">
        <f t="shared" si="16"/>
        <v xml:space="preserve"> img: "porygon-z.gif"</v>
      </c>
      <c r="E474" t="str">
        <f>" type1: """&amp;MASTER!C475&amp;""""</f>
        <v xml:space="preserve"> type1: "Normal"</v>
      </c>
      <c r="F474" t="str">
        <f>" type2: """&amp;MASTER!D475&amp;""""</f>
        <v xml:space="preserve"> type2: ""</v>
      </c>
      <c r="G474" t="str">
        <f>" location: """&amp;_xlfn.TEXTJOIN(" ",1,TRIM(MASTER!M475))&amp;""""</f>
        <v xml:space="preserve"> location: "None"</v>
      </c>
      <c r="H474" t="e">
        <f>" evolve: """&amp;MASTER!#REF!&amp;""" }"</f>
        <v>#REF!</v>
      </c>
      <c r="I474" s="25" t="e">
        <f t="shared" si="17"/>
        <v>#REF!</v>
      </c>
    </row>
    <row r="475" spans="1:9" x14ac:dyDescent="0.2">
      <c r="A475" t="str">
        <f>"{ id: """&amp;MASTER!H476&amp;""""</f>
        <v>{ id: "475"</v>
      </c>
      <c r="B475" t="str">
        <f>" id2: """&amp;MASTER!G476&amp;""""</f>
        <v xml:space="preserve"> id2: ""</v>
      </c>
      <c r="C475" t="str">
        <f>" name: """&amp;MASTER!B476&amp;""""</f>
        <v xml:space="preserve"> name: "Gallade"</v>
      </c>
      <c r="D475" t="str">
        <f t="shared" si="16"/>
        <v xml:space="preserve"> img: "gallade.gif"</v>
      </c>
      <c r="E475" t="str">
        <f>" type1: """&amp;MASTER!C476&amp;""""</f>
        <v xml:space="preserve"> type1: "Psychic"</v>
      </c>
      <c r="F475" t="str">
        <f>" type2: """&amp;MASTER!D476&amp;""""</f>
        <v xml:space="preserve"> type2: "Fighting"</v>
      </c>
      <c r="G475" t="str">
        <f>" location: """&amp;_xlfn.TEXTJOIN(" ",1,TRIM(MASTER!M476))&amp;""""</f>
        <v xml:space="preserve"> location: "None"</v>
      </c>
      <c r="H475" t="e">
        <f>" evolve: """&amp;MASTER!#REF!&amp;""" }"</f>
        <v>#REF!</v>
      </c>
      <c r="I475" s="25" t="e">
        <f t="shared" si="17"/>
        <v>#REF!</v>
      </c>
    </row>
    <row r="476" spans="1:9" x14ac:dyDescent="0.2">
      <c r="A476" t="str">
        <f>"{ id: """&amp;MASTER!H477&amp;""""</f>
        <v>{ id: "476"</v>
      </c>
      <c r="B476" t="str">
        <f>" id2: """&amp;MASTER!G477&amp;""""</f>
        <v xml:space="preserve"> id2: ""</v>
      </c>
      <c r="C476" t="str">
        <f>" name: """&amp;MASTER!B477&amp;""""</f>
        <v xml:space="preserve"> name: "Probopass"</v>
      </c>
      <c r="D476" t="str">
        <f t="shared" si="16"/>
        <v xml:space="preserve"> img: "probopass.gif"</v>
      </c>
      <c r="E476" t="str">
        <f>" type1: """&amp;MASTER!C477&amp;""""</f>
        <v xml:space="preserve"> type1: "Rock"</v>
      </c>
      <c r="F476" t="str">
        <f>" type2: """&amp;MASTER!D477&amp;""""</f>
        <v xml:space="preserve"> type2: "Steel"</v>
      </c>
      <c r="G476" t="str">
        <f>" location: """&amp;_xlfn.TEXTJOIN(" ",1,TRIM(MASTER!M477))&amp;""""</f>
        <v xml:space="preserve"> location: "None"</v>
      </c>
      <c r="H476" t="e">
        <f>" evolve: """&amp;MASTER!#REF!&amp;""" }"</f>
        <v>#REF!</v>
      </c>
      <c r="I476" s="25" t="e">
        <f t="shared" si="17"/>
        <v>#REF!</v>
      </c>
    </row>
    <row r="477" spans="1:9" x14ac:dyDescent="0.2">
      <c r="A477" t="str">
        <f>"{ id: """&amp;MASTER!H478&amp;""""</f>
        <v>{ id: "477"</v>
      </c>
      <c r="B477" t="str">
        <f>" id2: """&amp;MASTER!G478&amp;""""</f>
        <v xml:space="preserve"> id2: ""</v>
      </c>
      <c r="C477" t="str">
        <f>" name: """&amp;MASTER!B478&amp;""""</f>
        <v xml:space="preserve"> name: "Dusknoir"</v>
      </c>
      <c r="D477" t="str">
        <f t="shared" si="16"/>
        <v xml:space="preserve"> img: "dusknoir.gif"</v>
      </c>
      <c r="E477" t="str">
        <f>" type1: """&amp;MASTER!C478&amp;""""</f>
        <v xml:space="preserve"> type1: "Ghost"</v>
      </c>
      <c r="F477" t="str">
        <f>" type2: """&amp;MASTER!D478&amp;""""</f>
        <v xml:space="preserve"> type2: ""</v>
      </c>
      <c r="G477" t="str">
        <f>" location: """&amp;_xlfn.TEXTJOIN(" ",1,TRIM(MASTER!M478))&amp;""""</f>
        <v xml:space="preserve"> location: "None"</v>
      </c>
      <c r="H477" t="e">
        <f>" evolve: """&amp;MASTER!#REF!&amp;""" }"</f>
        <v>#REF!</v>
      </c>
      <c r="I477" s="25" t="e">
        <f t="shared" si="17"/>
        <v>#REF!</v>
      </c>
    </row>
    <row r="478" spans="1:9" x14ac:dyDescent="0.2">
      <c r="A478" t="str">
        <f>"{ id: """&amp;MASTER!H479&amp;""""</f>
        <v>{ id: "478"</v>
      </c>
      <c r="B478" t="str">
        <f>" id2: """&amp;MASTER!G479&amp;""""</f>
        <v xml:space="preserve"> id2: ""</v>
      </c>
      <c r="C478" t="str">
        <f>" name: """&amp;MASTER!B479&amp;""""</f>
        <v xml:space="preserve"> name: "Froslass"</v>
      </c>
      <c r="D478" t="str">
        <f t="shared" si="16"/>
        <v xml:space="preserve"> img: "froslass.gif"</v>
      </c>
      <c r="E478" t="str">
        <f>" type1: """&amp;MASTER!C479&amp;""""</f>
        <v xml:space="preserve"> type1: "Ice"</v>
      </c>
      <c r="F478" t="str">
        <f>" type2: """&amp;MASTER!D479&amp;""""</f>
        <v xml:space="preserve"> type2: "Ghost"</v>
      </c>
      <c r="G478" t="str">
        <f>" location: """&amp;_xlfn.TEXTJOIN(" ",1,TRIM(MASTER!M479))&amp;""""</f>
        <v xml:space="preserve"> location: "None"</v>
      </c>
      <c r="H478" t="e">
        <f>" evolve: """&amp;MASTER!#REF!&amp;""" }"</f>
        <v>#REF!</v>
      </c>
      <c r="I478" s="25" t="e">
        <f t="shared" si="17"/>
        <v>#REF!</v>
      </c>
    </row>
    <row r="479" spans="1:9" x14ac:dyDescent="0.2">
      <c r="A479" t="str">
        <f>"{ id: """&amp;MASTER!H480&amp;""""</f>
        <v>{ id: "479"</v>
      </c>
      <c r="B479" t="str">
        <f>" id2: """&amp;MASTER!G480&amp;""""</f>
        <v xml:space="preserve"> id2: ""</v>
      </c>
      <c r="C479" t="str">
        <f>" name: """&amp;MASTER!B480&amp;""""</f>
        <v xml:space="preserve"> name: "Rotom"</v>
      </c>
      <c r="D479" t="str">
        <f t="shared" si="16"/>
        <v xml:space="preserve"> img: "rotom.gif"</v>
      </c>
      <c r="E479" t="str">
        <f>" type1: """&amp;MASTER!C480&amp;""""</f>
        <v xml:space="preserve"> type1: "Electric"</v>
      </c>
      <c r="F479" t="str">
        <f>" type2: """&amp;MASTER!D480&amp;""""</f>
        <v xml:space="preserve"> type2: "Ghost"</v>
      </c>
      <c r="G479" t="str">
        <f>" location: """&amp;_xlfn.TEXTJOIN(" ",1,TRIM(MASTER!M480))&amp;""""</f>
        <v xml:space="preserve"> location: "Old Chateau 📍 🌃"</v>
      </c>
      <c r="H479" t="e">
        <f>" evolve: """&amp;MASTER!#REF!&amp;""" }"</f>
        <v>#REF!</v>
      </c>
      <c r="I479" s="25" t="e">
        <f t="shared" si="17"/>
        <v>#REF!</v>
      </c>
    </row>
    <row r="480" spans="1:9" x14ac:dyDescent="0.2">
      <c r="A480" t="str">
        <f>"{ id: """&amp;MASTER!H481&amp;""""</f>
        <v>{ id: "480"</v>
      </c>
      <c r="B480" t="str">
        <f>" id2: """&amp;MASTER!G481&amp;""""</f>
        <v xml:space="preserve"> id2: "146"</v>
      </c>
      <c r="C480" t="str">
        <f>" name: """&amp;MASTER!B481&amp;""""</f>
        <v xml:space="preserve"> name: "Uxie"</v>
      </c>
      <c r="D480" t="str">
        <f t="shared" si="16"/>
        <v xml:space="preserve"> img: "uxie.gif"</v>
      </c>
      <c r="E480" t="str">
        <f>" type1: """&amp;MASTER!C481&amp;""""</f>
        <v xml:space="preserve"> type1: "Psychic"</v>
      </c>
      <c r="F480" t="str">
        <f>" type2: """&amp;MASTER!D481&amp;""""</f>
        <v xml:space="preserve"> type2: ""</v>
      </c>
      <c r="G480" t="str">
        <f>" location: """&amp;_xlfn.TEXTJOIN(" ",1,TRIM(MASTER!M481))&amp;""""</f>
        <v xml:space="preserve"> location: "Lake Acuity 📍"</v>
      </c>
      <c r="H480" t="e">
        <f>" evolve: """&amp;MASTER!#REF!&amp;""" }"</f>
        <v>#REF!</v>
      </c>
      <c r="I480" s="25" t="e">
        <f t="shared" si="17"/>
        <v>#REF!</v>
      </c>
    </row>
    <row r="481" spans="1:9" x14ac:dyDescent="0.2">
      <c r="A481" t="str">
        <f>"{ id: """&amp;MASTER!H482&amp;""""</f>
        <v>{ id: "481"</v>
      </c>
      <c r="B481" t="str">
        <f>" id2: """&amp;MASTER!G482&amp;""""</f>
        <v xml:space="preserve"> id2: "147"</v>
      </c>
      <c r="C481" t="str">
        <f>" name: """&amp;MASTER!B482&amp;""""</f>
        <v xml:space="preserve"> name: "Mesprit"</v>
      </c>
      <c r="D481" t="str">
        <f t="shared" si="16"/>
        <v xml:space="preserve"> img: "mesprit.gif"</v>
      </c>
      <c r="E481" t="str">
        <f>" type1: """&amp;MASTER!C482&amp;""""</f>
        <v xml:space="preserve"> type1: "Psychic"</v>
      </c>
      <c r="F481" t="str">
        <f>" type2: """&amp;MASTER!D482&amp;""""</f>
        <v xml:space="preserve"> type2: ""</v>
      </c>
      <c r="G481" t="str">
        <f>" location: """&amp;_xlfn.TEXTJOIN(" ",1,TRIM(MASTER!M482))&amp;""""</f>
        <v xml:space="preserve"> location: "Lake Acuity (Special) ✈️"</v>
      </c>
      <c r="H481" t="e">
        <f>" evolve: """&amp;MASTER!#REF!&amp;""" }"</f>
        <v>#REF!</v>
      </c>
      <c r="I481" s="25" t="e">
        <f t="shared" si="17"/>
        <v>#REF!</v>
      </c>
    </row>
    <row r="482" spans="1:9" x14ac:dyDescent="0.2">
      <c r="A482" t="str">
        <f>"{ id: """&amp;MASTER!H483&amp;""""</f>
        <v>{ id: "482"</v>
      </c>
      <c r="B482" t="str">
        <f>" id2: """&amp;MASTER!G483&amp;""""</f>
        <v xml:space="preserve"> id2: "148"</v>
      </c>
      <c r="C482" t="str">
        <f>" name: """&amp;MASTER!B483&amp;""""</f>
        <v xml:space="preserve"> name: "Azelf"</v>
      </c>
      <c r="D482" t="str">
        <f t="shared" si="16"/>
        <v xml:space="preserve"> img: "azelf.gif"</v>
      </c>
      <c r="E482" t="str">
        <f>" type1: """&amp;MASTER!C483&amp;""""</f>
        <v xml:space="preserve"> type1: "Psychic"</v>
      </c>
      <c r="F482" t="str">
        <f>" type2: """&amp;MASTER!D483&amp;""""</f>
        <v xml:space="preserve"> type2: ""</v>
      </c>
      <c r="G482" t="str">
        <f>" location: """&amp;_xlfn.TEXTJOIN(" ",1,TRIM(MASTER!M483))&amp;""""</f>
        <v xml:space="preserve"> location: "Lake Valor 📍"</v>
      </c>
      <c r="H482" t="e">
        <f>" evolve: """&amp;MASTER!#REF!&amp;""" }"</f>
        <v>#REF!</v>
      </c>
      <c r="I482" s="25" t="e">
        <f t="shared" si="17"/>
        <v>#REF!</v>
      </c>
    </row>
    <row r="483" spans="1:9" x14ac:dyDescent="0.2">
      <c r="A483" t="str">
        <f>"{ id: """&amp;MASTER!H484&amp;""""</f>
        <v>{ id: "483"</v>
      </c>
      <c r="B483" t="str">
        <f>" id2: """&amp;MASTER!G484&amp;""""</f>
        <v xml:space="preserve"> id2: "149"</v>
      </c>
      <c r="C483" t="str">
        <f>" name: """&amp;MASTER!B484&amp;""""</f>
        <v xml:space="preserve"> name: "Dialga"</v>
      </c>
      <c r="D483" t="str">
        <f t="shared" si="16"/>
        <v xml:space="preserve"> img: "dialga.gif"</v>
      </c>
      <c r="E483" t="str">
        <f>" type1: """&amp;MASTER!C484&amp;""""</f>
        <v xml:space="preserve"> type1: "Steel"</v>
      </c>
      <c r="F483" t="str">
        <f>" type2: """&amp;MASTER!D484&amp;""""</f>
        <v xml:space="preserve"> type2: "Dragon"</v>
      </c>
      <c r="G483" t="str">
        <f>" location: """&amp;_xlfn.TEXTJOIN(" ",1,TRIM(MASTER!M484))&amp;""""</f>
        <v xml:space="preserve"> location: "Spear Pillar 📍 💎only"</v>
      </c>
      <c r="H483" t="e">
        <f>" evolve: """&amp;MASTER!#REF!&amp;""" }"</f>
        <v>#REF!</v>
      </c>
      <c r="I483" s="25" t="e">
        <f t="shared" si="17"/>
        <v>#REF!</v>
      </c>
    </row>
    <row r="484" spans="1:9" x14ac:dyDescent="0.2">
      <c r="A484" t="str">
        <f>"{ id: """&amp;MASTER!H485&amp;""""</f>
        <v>{ id: "484"</v>
      </c>
      <c r="B484" t="str">
        <f>" id2: """&amp;MASTER!G485&amp;""""</f>
        <v xml:space="preserve"> id2: "150"</v>
      </c>
      <c r="C484" t="str">
        <f>" name: """&amp;MASTER!B485&amp;""""</f>
        <v xml:space="preserve"> name: "Palkia"</v>
      </c>
      <c r="D484" t="str">
        <f t="shared" si="16"/>
        <v xml:space="preserve"> img: "palkia.gif"</v>
      </c>
      <c r="E484" t="str">
        <f>" type1: """&amp;MASTER!C485&amp;""""</f>
        <v xml:space="preserve"> type1: "Water"</v>
      </c>
      <c r="F484" t="str">
        <f>" type2: """&amp;MASTER!D485&amp;""""</f>
        <v xml:space="preserve"> type2: "Dragon"</v>
      </c>
      <c r="G484" t="str">
        <f>" location: """&amp;_xlfn.TEXTJOIN(" ",1,TRIM(MASTER!M485))&amp;""""</f>
        <v xml:space="preserve"> location: "Spear Pillar 📍 ⚪only"</v>
      </c>
      <c r="H484" t="e">
        <f>" evolve: """&amp;MASTER!#REF!&amp;""" }"</f>
        <v>#REF!</v>
      </c>
      <c r="I484" s="25" t="e">
        <f t="shared" si="17"/>
        <v>#REF!</v>
      </c>
    </row>
    <row r="485" spans="1:9" x14ac:dyDescent="0.2">
      <c r="A485" t="str">
        <f>"{ id: """&amp;MASTER!H486&amp;""""</f>
        <v>{ id: "485"</v>
      </c>
      <c r="B485" t="str">
        <f>" id2: """&amp;MASTER!G486&amp;""""</f>
        <v xml:space="preserve"> id2: ""</v>
      </c>
      <c r="C485" t="str">
        <f>" name: """&amp;MASTER!B486&amp;""""</f>
        <v xml:space="preserve"> name: "Heatran"</v>
      </c>
      <c r="D485" t="str">
        <f t="shared" si="16"/>
        <v xml:space="preserve"> img: "heatran.gif"</v>
      </c>
      <c r="E485" t="str">
        <f>" type1: """&amp;MASTER!C486&amp;""""</f>
        <v xml:space="preserve"> type1: "Fire"</v>
      </c>
      <c r="F485" t="str">
        <f>" type2: """&amp;MASTER!D486&amp;""""</f>
        <v xml:space="preserve"> type2: "Steel"</v>
      </c>
      <c r="G485" t="str">
        <f>" location: """&amp;_xlfn.TEXTJOIN(" ",1,TRIM(MASTER!M486))&amp;""""</f>
        <v xml:space="preserve"> location: "Stark Mountain 📍"</v>
      </c>
      <c r="H485" t="e">
        <f>" evolve: """&amp;MASTER!#REF!&amp;""" }"</f>
        <v>#REF!</v>
      </c>
      <c r="I485" s="25" t="e">
        <f t="shared" si="17"/>
        <v>#REF!</v>
      </c>
    </row>
    <row r="486" spans="1:9" x14ac:dyDescent="0.2">
      <c r="A486" t="str">
        <f>"{ id: """&amp;MASTER!H487&amp;""""</f>
        <v>{ id: "486"</v>
      </c>
      <c r="B486" t="str">
        <f>" id2: """&amp;MASTER!G487&amp;""""</f>
        <v xml:space="preserve"> id2: ""</v>
      </c>
      <c r="C486" t="str">
        <f>" name: """&amp;MASTER!B487&amp;""""</f>
        <v xml:space="preserve"> name: "Regigigas"</v>
      </c>
      <c r="D486" t="str">
        <f t="shared" si="16"/>
        <v xml:space="preserve"> img: "regigigas.gif"</v>
      </c>
      <c r="E486" t="str">
        <f>" type1: """&amp;MASTER!C487&amp;""""</f>
        <v xml:space="preserve"> type1: "Normal"</v>
      </c>
      <c r="F486" t="str">
        <f>" type2: """&amp;MASTER!D487&amp;""""</f>
        <v xml:space="preserve"> type2: ""</v>
      </c>
      <c r="G486" t="str">
        <f>" location: """&amp;_xlfn.TEXTJOIN(" ",1,TRIM(MASTER!M487))&amp;""""</f>
        <v xml:space="preserve"> location: "Snowpoint Temple B5F (Special) 📍"</v>
      </c>
      <c r="H486" t="e">
        <f>" evolve: """&amp;MASTER!#REF!&amp;""" }"</f>
        <v>#REF!</v>
      </c>
      <c r="I486" s="25" t="e">
        <f t="shared" si="17"/>
        <v>#REF!</v>
      </c>
    </row>
    <row r="487" spans="1:9" x14ac:dyDescent="0.2">
      <c r="A487" t="str">
        <f>"{ id: """&amp;MASTER!H488&amp;""""</f>
        <v>{ id: "487"</v>
      </c>
      <c r="B487" t="str">
        <f>" id2: """&amp;MASTER!G488&amp;""""</f>
        <v xml:space="preserve"> id2: ""</v>
      </c>
      <c r="C487" t="str">
        <f>" name: """&amp;MASTER!B488&amp;""""</f>
        <v xml:space="preserve"> name: "Giratina"</v>
      </c>
      <c r="D487" t="str">
        <f t="shared" si="16"/>
        <v xml:space="preserve"> img: "giratina.gif"</v>
      </c>
      <c r="E487" t="str">
        <f>" type1: """&amp;MASTER!C488&amp;""""</f>
        <v xml:space="preserve"> type1: "Ghost"</v>
      </c>
      <c r="F487" t="str">
        <f>" type2: """&amp;MASTER!D488&amp;""""</f>
        <v xml:space="preserve"> type2: "Dragon"</v>
      </c>
      <c r="G487" t="str">
        <f>" location: """&amp;_xlfn.TEXTJOIN(" ",1,TRIM(MASTER!M488))&amp;""""</f>
        <v xml:space="preserve"> location: "Turnback Cave (Special) 📍"</v>
      </c>
      <c r="H487" t="e">
        <f>" evolve: """&amp;MASTER!#REF!&amp;""" }"</f>
        <v>#REF!</v>
      </c>
      <c r="I487" s="25" t="e">
        <f t="shared" si="17"/>
        <v>#REF!</v>
      </c>
    </row>
    <row r="488" spans="1:9" x14ac:dyDescent="0.2">
      <c r="A488" t="str">
        <f>"{ id: """&amp;MASTER!H489&amp;""""</f>
        <v>{ id: "488"</v>
      </c>
      <c r="B488" t="str">
        <f>" id2: """&amp;MASTER!G489&amp;""""</f>
        <v xml:space="preserve"> id2: ""</v>
      </c>
      <c r="C488" t="str">
        <f>" name: """&amp;MASTER!B489&amp;""""</f>
        <v xml:space="preserve"> name: "Cresselia"</v>
      </c>
      <c r="D488" t="str">
        <f t="shared" si="16"/>
        <v xml:space="preserve"> img: "cresselia.gif"</v>
      </c>
      <c r="E488" t="str">
        <f>" type1: """&amp;MASTER!C489&amp;""""</f>
        <v xml:space="preserve"> type1: "Psychic"</v>
      </c>
      <c r="F488" t="str">
        <f>" type2: """&amp;MASTER!D489&amp;""""</f>
        <v xml:space="preserve"> type2: ""</v>
      </c>
      <c r="G488" t="str">
        <f>" location: """&amp;_xlfn.TEXTJOIN(" ",1,TRIM(MASTER!M489))&amp;""""</f>
        <v xml:space="preserve"> location: "Fullmoon Island (Special) ✈️"</v>
      </c>
      <c r="H488" t="e">
        <f>" evolve: """&amp;MASTER!#REF!&amp;""" }"</f>
        <v>#REF!</v>
      </c>
      <c r="I488" s="25" t="e">
        <f t="shared" si="17"/>
        <v>#REF!</v>
      </c>
    </row>
    <row r="489" spans="1:9" x14ac:dyDescent="0.2">
      <c r="A489" t="str">
        <f>"{ id: """&amp;MASTER!H490&amp;""""</f>
        <v>{ id: "489"</v>
      </c>
      <c r="B489" t="str">
        <f>" id2: """&amp;MASTER!G490&amp;""""</f>
        <v xml:space="preserve"> id2: ""</v>
      </c>
      <c r="C489" t="str">
        <f>" name: """&amp;MASTER!B490&amp;""""</f>
        <v xml:space="preserve"> name: "Phione"</v>
      </c>
      <c r="D489" t="str">
        <f t="shared" si="16"/>
        <v xml:space="preserve"> img: "phione.gif"</v>
      </c>
      <c r="E489" t="str">
        <f>" type1: """&amp;MASTER!C490&amp;""""</f>
        <v xml:space="preserve"> type1: "Water"</v>
      </c>
      <c r="F489" t="str">
        <f>" type2: """&amp;MASTER!D490&amp;""""</f>
        <v xml:space="preserve"> type2: ""</v>
      </c>
      <c r="G489" t="str">
        <f>" location: """&amp;_xlfn.TEXTJOIN(" ",1,TRIM(MASTER!M490))&amp;""""</f>
        <v xml:space="preserve"> location: "None"</v>
      </c>
      <c r="H489" t="e">
        <f>" evolve: """&amp;MASTER!#REF!&amp;""" }"</f>
        <v>#REF!</v>
      </c>
      <c r="I489" s="25" t="e">
        <f t="shared" si="17"/>
        <v>#REF!</v>
      </c>
    </row>
    <row r="490" spans="1:9" x14ac:dyDescent="0.2">
      <c r="A490" t="str">
        <f>"{ id: """&amp;MASTER!H491&amp;""""</f>
        <v>{ id: "490"</v>
      </c>
      <c r="B490" t="str">
        <f>" id2: """&amp;MASTER!G491&amp;""""</f>
        <v xml:space="preserve"> id2: "151"</v>
      </c>
      <c r="C490" t="str">
        <f>" name: """&amp;MASTER!B491&amp;""""</f>
        <v xml:space="preserve"> name: "Manaphy"</v>
      </c>
      <c r="D490" t="str">
        <f t="shared" si="16"/>
        <v xml:space="preserve"> img: "manaphy.gif"</v>
      </c>
      <c r="E490" t="str">
        <f>" type1: """&amp;MASTER!C491&amp;""""</f>
        <v xml:space="preserve"> type1: "Water"</v>
      </c>
      <c r="F490" t="str">
        <f>" type2: """&amp;MASTER!D491&amp;""""</f>
        <v xml:space="preserve"> type2: ""</v>
      </c>
      <c r="G490" t="str">
        <f>" location: """&amp;_xlfn.TEXTJOIN(" ",1,TRIM(MASTER!M491))&amp;""""</f>
        <v xml:space="preserve"> location: "Trade Only"</v>
      </c>
      <c r="H490" t="e">
        <f>" evolve: """&amp;MASTER!#REF!&amp;""" }"</f>
        <v>#REF!</v>
      </c>
      <c r="I490" s="25" t="e">
        <f t="shared" si="17"/>
        <v>#REF!</v>
      </c>
    </row>
    <row r="491" spans="1:9" x14ac:dyDescent="0.2">
      <c r="A491" t="str">
        <f>"{ id: """&amp;MASTER!H492&amp;""""</f>
        <v>{ id: "491"</v>
      </c>
      <c r="B491" t="str">
        <f>" id2: """&amp;MASTER!G492&amp;""""</f>
        <v xml:space="preserve"> id2: ""</v>
      </c>
      <c r="C491" t="str">
        <f>" name: """&amp;MASTER!B492&amp;""""</f>
        <v xml:space="preserve"> name: "Darkrai"</v>
      </c>
      <c r="D491" t="str">
        <f t="shared" si="16"/>
        <v xml:space="preserve"> img: "darkrai.gif"</v>
      </c>
      <c r="E491" t="str">
        <f>" type1: """&amp;MASTER!C492&amp;""""</f>
        <v xml:space="preserve"> type1: "Dark"</v>
      </c>
      <c r="F491" t="str">
        <f>" type2: """&amp;MASTER!D492&amp;""""</f>
        <v xml:space="preserve"> type2: ""</v>
      </c>
      <c r="G491" t="str">
        <f>" location: """&amp;_xlfn.TEXTJOIN(" ",1,TRIM(MASTER!M492))&amp;""""</f>
        <v xml:space="preserve"> location: "Trade Only"</v>
      </c>
      <c r="H491" t="e">
        <f>" evolve: """&amp;MASTER!#REF!&amp;""" }"</f>
        <v>#REF!</v>
      </c>
      <c r="I491" s="25" t="e">
        <f t="shared" si="17"/>
        <v>#REF!</v>
      </c>
    </row>
    <row r="492" spans="1:9" x14ac:dyDescent="0.2">
      <c r="A492" t="str">
        <f>"{ id: """&amp;MASTER!H493&amp;""""</f>
        <v>{ id: "492"</v>
      </c>
      <c r="B492" t="str">
        <f>" id2: """&amp;MASTER!G493&amp;""""</f>
        <v xml:space="preserve"> id2: ""</v>
      </c>
      <c r="C492" t="str">
        <f>" name: """&amp;MASTER!B493&amp;""""</f>
        <v xml:space="preserve"> name: "Shaymin"</v>
      </c>
      <c r="D492" t="str">
        <f t="shared" si="16"/>
        <v xml:space="preserve"> img: "shaymin.gif"</v>
      </c>
      <c r="E492" t="str">
        <f>" type1: """&amp;MASTER!C493&amp;""""</f>
        <v xml:space="preserve"> type1: "Grass"</v>
      </c>
      <c r="F492" t="str">
        <f>" type2: """&amp;MASTER!D493&amp;""""</f>
        <v xml:space="preserve"> type2: ""</v>
      </c>
      <c r="G492" t="str">
        <f>" location: """&amp;_xlfn.TEXTJOIN(" ",1,TRIM(MASTER!M493))&amp;""""</f>
        <v xml:space="preserve"> location: "Trade Only"</v>
      </c>
      <c r="H492" t="e">
        <f>" evolve: """&amp;MASTER!#REF!&amp;""" }"</f>
        <v>#REF!</v>
      </c>
      <c r="I492" s="25" t="e">
        <f t="shared" si="17"/>
        <v>#REF!</v>
      </c>
    </row>
    <row r="493" spans="1:9" x14ac:dyDescent="0.2">
      <c r="A493" t="str">
        <f>"{ id: """&amp;MASTER!H494&amp;""""</f>
        <v>{ id: "493"</v>
      </c>
      <c r="B493" t="str">
        <f>" id2: """&amp;MASTER!G494&amp;""""</f>
        <v xml:space="preserve"> id2: ""</v>
      </c>
      <c r="C493" t="str">
        <f>" name: """&amp;MASTER!B494&amp;""""</f>
        <v xml:space="preserve"> name: "Arceus"</v>
      </c>
      <c r="D493" t="str">
        <f t="shared" si="16"/>
        <v xml:space="preserve"> img: "arceus.gif"</v>
      </c>
      <c r="E493" t="str">
        <f>" type1: """&amp;MASTER!C494&amp;""""</f>
        <v xml:space="preserve"> type1: "Normal"</v>
      </c>
      <c r="F493" t="str">
        <f>" type2: """&amp;MASTER!D494&amp;""""</f>
        <v xml:space="preserve"> type2: ""</v>
      </c>
      <c r="G493" t="str">
        <f>" location: """&amp;_xlfn.TEXTJOIN(" ",1,TRIM(MASTER!M494))&amp;""""</f>
        <v xml:space="preserve"> location: "Special Instructions"</v>
      </c>
      <c r="H493" t="e">
        <f>" evolve: """&amp;MASTER!#REF!&amp;""" }"</f>
        <v>#REF!</v>
      </c>
      <c r="I493" s="25" t="e">
        <f t="shared" si="17"/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</vt:lpstr>
      <vt:lpstr>Sheet1</vt:lpstr>
      <vt:lpstr>MASTER!_FilterDatabase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Kug Kugler</dc:creator>
  <cp:lastModifiedBy>Aaron Kugler</cp:lastModifiedBy>
  <dcterms:created xsi:type="dcterms:W3CDTF">2026-02-07T21:16:54Z</dcterms:created>
  <dcterms:modified xsi:type="dcterms:W3CDTF">2026-05-17T17:24:04Z</dcterms:modified>
</cp:coreProperties>
</file>